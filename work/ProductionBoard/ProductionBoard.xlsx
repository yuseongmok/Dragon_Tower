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b2f0c22f334e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lements" sheetId="1" r:id="R4c80424dba8c4f7b"/>
    <x:sheet xmlns:r="http://schemas.openxmlformats.org/officeDocument/2006/relationships" name="Board" sheetId="2" r:id="Rc8016c1187ec4614"/>
    <x:sheet xmlns:r="http://schemas.openxmlformats.org/officeDocument/2006/relationships" name="Character Tasks" sheetId="3" r:id="R204a6028437644f6"/>
    <x:sheet xmlns:r="http://schemas.openxmlformats.org/officeDocument/2006/relationships" name="Skill Data" sheetId="4" r:id="R16df69a954d84e97"/>
    <x:sheet xmlns:r="http://schemas.openxmlformats.org/officeDocument/2006/relationships" name="References" sheetId="5" r:id="R23aa2bc11c134588"/>
    <x:sheet xmlns:r="http://schemas.openxmlformats.org/officeDocument/2006/relationships" name="Batch Plan" sheetId="6" r:id="Rd047d69a46094cf8"/>
    <x:sheet xmlns:r="http://schemas.openxmlformats.org/officeDocument/2006/relationships" name="Pipeline" sheetId="7" r:id="Rf63510ff67764b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"/>
    <x:numFmt numFmtId="202" formatCode="0.00"/>
  </x:numFmts>
  <x:fonts count="6">
    <x:font>
      <x:sz val="11"/>
      <x:name val="Carlito"/>
    </x:font>
    <x:font>
      <x:sz val="11"/>
      <x:color rgb="FF253247"/>
      <x:name val="Arial"/>
    </x:font>
    <x:font>
      <x:b/>
      <x:sz val="18"/>
      <x:color rgb="FF172339"/>
      <x:name val="Arial"/>
    </x:font>
    <x:font>
      <x:sz val="10"/>
      <x:color rgb="FF64748B"/>
      <x:name val="Arial"/>
    </x:font>
    <x:font>
      <x:b/>
      <x:sz val="11"/>
      <x:color rgb="FFFFFFFF"/>
      <x:name val="Arial"/>
    </x:font>
    <x:font>
      <x:b/>
      <x:sz val="11"/>
      <x:color rgb="FF25324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63D59"/>
      </x:patternFill>
    </x:fill>
    <x:fill>
      <x:patternFill patternType="solid">
        <x:fgColor rgb="FFE6ECF3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8">
    <x:dxf>
      <x:font>
        <x:color rgb="FF23603D"/>
      </x:font>
      <x:fill>
        <x:patternFill patternType="solid">
          <x:bgColor rgb="FFE3F1E7"/>
        </x:patternFill>
      </x:fill>
    </x:dxf>
    <x:dxf>
      <x:font>
        <x:color rgb="FF805B1C"/>
      </x:font>
      <x:fill>
        <x:patternFill patternType="solid">
          <x:bgColor rgb="FFFFF1D5"/>
        </x:patternFill>
      </x:fill>
    </x:dxf>
    <x:dxf>
      <x:font>
        <x:color rgb="FF874C2E"/>
      </x:font>
      <x:fill>
        <x:patternFill patternType="solid">
          <x:bgColor rgb="FFFCE9DF"/>
        </x:patternFill>
      </x:fill>
    </x:dxf>
    <x:dxf>
      <x:font>
        <x:color rgb="FF526078"/>
      </x:font>
      <x:fill>
        <x:patternFill patternType="solid">
          <x:bgColor rgb="FFEDF0F5"/>
        </x:patternFill>
      </x:fill>
    </x:dxf>
    <x:dxf>
      <x:font>
        <x:color rgb="FF23603D"/>
      </x:font>
      <x:fill>
        <x:patternFill patternType="solid">
          <x:bgColor rgb="FFE3F1E7"/>
        </x:patternFill>
      </x:fill>
    </x:dxf>
    <x:dxf>
      <x:font>
        <x:color rgb="FF805B1C"/>
      </x:font>
      <x:fill>
        <x:patternFill patternType="solid">
          <x:bgColor rgb="FFFFF1D5"/>
        </x:patternFill>
      </x:fill>
    </x:dxf>
    <x:dxf>
      <x:font>
        <x:color rgb="FF874C2E"/>
      </x:font>
      <x:fill>
        <x:patternFill patternType="solid">
          <x:bgColor rgb="FFFCE9DF"/>
        </x:patternFill>
      </x:fill>
    </x:dxf>
    <x:dxf>
      <x:font>
        <x:color rgb="FF526078"/>
      </x:font>
      <x:fill>
        <x:patternFill patternType="solid">
          <x:bgColor rgb="FFEDF0F5"/>
        </x:patternFill>
      </x:fill>
    </x:dxf>
    <x:dxf>
      <x:font>
        <x:color rgb="FF23603D"/>
      </x:font>
      <x:fill>
        <x:patternFill patternType="solid">
          <x:bgColor rgb="FFE3F1E7"/>
        </x:patternFill>
      </x:fill>
    </x:dxf>
    <x:dxf>
      <x:font>
        <x:color rgb="FF805B1C"/>
      </x:font>
      <x:fill>
        <x:patternFill patternType="solid">
          <x:bgColor rgb="FFFFF1D5"/>
        </x:patternFill>
      </x:fill>
    </x:dxf>
    <x:dxf>
      <x:font>
        <x:color rgb="FF874C2E"/>
      </x:font>
      <x:fill>
        <x:patternFill patternType="solid">
          <x:bgColor rgb="FFFCE9DF"/>
        </x:patternFill>
      </x:fill>
    </x:dxf>
    <x:dxf>
      <x:font>
        <x:color rgb="FF526078"/>
      </x:font>
      <x:fill>
        <x:patternFill patternType="solid">
          <x:bgColor rgb="FFEDF0F5"/>
        </x:patternFill>
      </x:fill>
    </x:dxf>
    <x:dxf>
      <x:font>
        <x:color rgb="FF23603D"/>
      </x:font>
      <x:fill>
        <x:patternFill patternType="solid">
          <x:bgColor rgb="FFE3F1E7"/>
        </x:patternFill>
      </x:fill>
    </x:dxf>
    <x:dxf>
      <x:font>
        <x:color rgb="FF805B1C"/>
      </x:font>
      <x:fill>
        <x:patternFill patternType="solid">
          <x:bgColor rgb="FFFFF1D5"/>
        </x:patternFill>
      </x:fill>
    </x:dxf>
    <x:dxf>
      <x:font>
        <x:color rgb="FF874C2E"/>
      </x:font>
      <x:fill>
        <x:patternFill patternType="solid">
          <x:bgColor rgb="FFFCE9DF"/>
        </x:patternFill>
      </x:fill>
    </x:dxf>
    <x:dxf>
      <x:font>
        <x:color rgb="FF526078"/>
      </x:font>
      <x:fill>
        <x:patternFill patternType="solid">
          <x:bgColor rgb="FFEDF0F5"/>
        </x:patternFill>
      </x:fill>
    </x:dxf>
    <x:dxf>
      <x:font>
        <x:color rgb="FF23603D"/>
      </x:font>
      <x:fill>
        <x:patternFill patternType="solid">
          <x:bgColor rgb="FFE3F1E7"/>
        </x:patternFill>
      </x:fill>
    </x:dxf>
    <x:dxf>
      <x:font>
        <x:color rgb="FF805B1C"/>
      </x:font>
      <x:fill>
        <x:patternFill patternType="solid">
          <x:bgColor rgb="FFFFF1D5"/>
        </x:patternFill>
      </x:fill>
    </x:dxf>
    <x:dxf>
      <x:font>
        <x:color rgb="FF874C2E"/>
      </x:font>
      <x:fill>
        <x:patternFill patternType="solid">
          <x:bgColor rgb="FFFCE9DF"/>
        </x:patternFill>
      </x:fill>
    </x:dxf>
    <x:dxf>
      <x:font>
        <x:color rgb="FF526078"/>
      </x:font>
      <x:fill>
        <x:patternFill patternType="solid">
          <x:bgColor rgb="FFEDF0F5"/>
        </x:patternFill>
      </x:fill>
    </x:dxf>
    <x:dxf>
      <x:font>
        <x:color rgb="FF23603D"/>
      </x:font>
      <x:fill>
        <x:patternFill patternType="solid">
          <x:bgColor rgb="FFE3F1E7"/>
        </x:patternFill>
      </x:fill>
    </x:dxf>
    <x:dxf>
      <x:font>
        <x:color rgb="FF805B1C"/>
      </x:font>
      <x:fill>
        <x:patternFill patternType="solid">
          <x:bgColor rgb="FFFFF1D5"/>
        </x:patternFill>
      </x:fill>
    </x:dxf>
    <x:dxf>
      <x:font>
        <x:color rgb="FF874C2E"/>
      </x:font>
      <x:fill>
        <x:patternFill patternType="solid">
          <x:bgColor rgb="FFFCE9DF"/>
        </x:patternFill>
      </x:fill>
    </x:dxf>
    <x:dxf>
      <x:font>
        <x:color rgb="FF526078"/>
      </x:font>
      <x:fill>
        <x:patternFill patternType="solid">
          <x:bgColor rgb="FFEDF0F5"/>
        </x:patternFill>
      </x:fill>
    </x:dxf>
    <x:dxf>
      <x:font>
        <x:color rgb="FF23603D"/>
      </x:font>
      <x:fill>
        <x:patternFill patternType="solid">
          <x:bgColor rgb="FFE3F1E7"/>
        </x:patternFill>
      </x:fill>
    </x:dxf>
    <x:dxf>
      <x:font>
        <x:color rgb="FF805B1C"/>
      </x:font>
      <x:fill>
        <x:patternFill patternType="solid">
          <x:bgColor rgb="FFFFF1D5"/>
        </x:patternFill>
      </x:fill>
    </x:dxf>
    <x:dxf>
      <x:font>
        <x:color rgb="FF874C2E"/>
      </x:font>
      <x:fill>
        <x:patternFill patternType="solid">
          <x:bgColor rgb="FFFCE9DF"/>
        </x:patternFill>
      </x:fill>
    </x:dxf>
    <x:dxf>
      <x:font>
        <x:color rgb="FF526078"/>
      </x:font>
      <x:fill>
        <x:patternFill patternType="solid">
          <x:bgColor rgb="FFEDF0F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ac1add19a24256" /><Relationship Type="http://schemas.openxmlformats.org/officeDocument/2006/relationships/theme" Target="/xl/theme/theme1.xml" Id="R58db2f6e3a0d4870" /><Relationship Type="http://schemas.openxmlformats.org/officeDocument/2006/relationships/sharedStrings" Target="/xl/sharedStrings.xml" Id="R76202de48ce04b1a" /><Relationship Type="http://schemas.openxmlformats.org/officeDocument/2006/relationships/worksheet" Target="/xl/worksheets/sheet1.xml" Id="R4c80424dba8c4f7b" /><Relationship Type="http://schemas.openxmlformats.org/officeDocument/2006/relationships/worksheet" Target="/xl/worksheets/sheet2.xml" Id="Rc8016c1187ec4614" /><Relationship Type="http://schemas.openxmlformats.org/officeDocument/2006/relationships/worksheet" Target="/xl/worksheets/sheet3.xml" Id="R204a6028437644f6" /><Relationship Type="http://schemas.openxmlformats.org/officeDocument/2006/relationships/worksheet" Target="/xl/worksheets/sheet4.xml" Id="R16df69a954d84e97" /><Relationship Type="http://schemas.openxmlformats.org/officeDocument/2006/relationships/worksheet" Target="/xl/worksheets/sheet5.xml" Id="R23aa2bc11c134588" /><Relationship Type="http://schemas.openxmlformats.org/officeDocument/2006/relationships/worksheet" Target="/xl/worksheets/sheet6.xml" Id="Rd047d69a46094cf8" /><Relationship Type="http://schemas.openxmlformats.org/officeDocument/2006/relationships/worksheet" Target="/xl/worksheets/sheet7.xml" Id="Rf63510ff67764bd2" /></Relationships>
</file>

<file path=xl/tables/table1.xml><?xml version="1.0" encoding="utf-8"?>
<x:table xmlns:x="http://schemas.openxmlformats.org/spreadsheetml/2006/main" id="1" name="ElementsTable" displayName="ElementsTable" ref="A4:J12" headerRowCount="1" totalsRowCount="0" totalsRowShown="0">
  <x:tableColumns count="10">
    <x:tableColumn id="1" name="Element"/>
    <x:tableColumn id="2" name="드래곤 수"/>
    <x:tableColumn id="3" name="Dragon"/>
    <x:tableColumn id="4" name="캐릭터 완료"/>
    <x:tableColumn id="5" name="공용 후보 수"/>
    <x:tableColumn id="6" name="명시적 Pool"/>
    <x:tableColumn id="7" name="New VFX Art Direction"/>
    <x:tableColumn id="8" name="UI Theme"/>
    <x:tableColumn id="9" name="권장 순서"/>
    <x:tableColumn id="10" name="근거 / 검수 부담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oardTable" displayName="BoardTable" ref="A4:N20" headerRowCount="1" totalsRowCount="0" totalsRowShown="0">
  <x:tableColumns count="14">
    <x:tableColumn id="1" name="Dragon"/>
    <x:tableColumn id="2" name="Element"/>
    <x:tableColumn id="3" name="Base"/>
    <x:tableColumn id="4" name="Middle"/>
    <x:tableColumn id="5" name="Final"/>
    <x:tableColumn id="6" name="Animation Set"/>
    <x:tableColumn id="7" name="Element Skill Pool"/>
    <x:tableColumn id="8" name="New VFX Art Direction"/>
    <x:tableColumn id="9" name="Legendary Signature"/>
    <x:tableColumn id="10" name="Pipeline Status"/>
    <x:tableColumn id="11" name="Priority"/>
    <x:tableColumn id="12" name="현재 기본 스킬"/>
    <x:tableColumn id="13" name="Legacy VFX"/>
    <x:tableColumn id="14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haracterTasksTable" displayName="CharacterTasksTable" ref="A4:M52" headerRowCount="1" totalsRowCount="0" totalsRowShown="0">
  <x:tableColumns count="13">
    <x:tableColumn id="1" name="Dragon"/>
    <x:tableColumn id="2" name="Element"/>
    <x:tableColumn id="3" name="Form"/>
    <x:tableColumn id="4" name="Reference"/>
    <x:tableColumn id="5" name="Visual"/>
    <x:tableColumn id="6" name="Idle"/>
    <x:tableColumn id="7" name="Attack"/>
    <x:tableColumn id="8" name="Skill"/>
    <x:tableColumn id="9" name="Dodge"/>
    <x:tableColumn id="10" name="Hit"/>
    <x:tableColumn id="11" name="Death"/>
    <x:tableColumn id="12" name="Animation Set 경로"/>
    <x:tableColumn id="13" name="필요 작업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killDataTable" displayName="SkillDataTable" ref="A4:N38" headerRowCount="1" totalsRowCount="0" totalsRowShown="0">
  <x:tableColumns count="14">
    <x:tableColumn id="1" name="Element"/>
    <x:tableColumn id="2" name="Skill"/>
    <x:tableColumn id="3" name="현재 등급"/>
    <x:tableColumn id="4" name="현재 역할"/>
    <x:tableColumn id="5" name="Cooldown (s)"/>
    <x:tableColumn id="6" name="Hit Count"/>
    <x:tableColumn id="7" name="Hit Interval (s)"/>
    <x:tableColumn id="8" name="Initial Delay (s)"/>
    <x:tableColumn id="9" name="Status"/>
    <x:tableColumn id="10" name="Status Chance (%)"/>
    <x:tableColumn id="11" name="현재 Pool / 소유권"/>
    <x:tableColumn id="12" name="Legacy VFX"/>
    <x:tableColumn id="13" name="Stable ID"/>
    <x:tableColumn id="14" name="Sour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ferencesTable" displayName="ReferencesTable" ref="A4:L20" headerRowCount="1" totalsRowCount="0" totalsRowShown="0">
  <x:tableColumns count="12">
    <x:tableColumn id="1" name="Dragon"/>
    <x:tableColumn id="2" name="Stable ID"/>
    <x:tableColumn id="3" name="Dragon Data"/>
    <x:tableColumn id="4" name="Base reference"/>
    <x:tableColumn id="5" name="Middle reference"/>
    <x:tableColumn id="6" name="Final reference"/>
    <x:tableColumn id="7" name="Evolution reference"/>
    <x:tableColumn id="8" name="Middle name"/>
    <x:tableColumn id="9" name="Final name"/>
    <x:tableColumn id="10" name="기존 Passive"/>
    <x:tableColumn id="11" name="기존 소개"/>
    <x:tableColumn id="12" name="현재 구현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BatchPlanTable" displayName="BatchPlanTable" ref="A4:F14" headerRowCount="1" totalsRowCount="0" totalsRowShown="0">
  <x:tableColumns count="6">
    <x:tableColumn id="1" name="Phase"/>
    <x:tableColumn id="2" name="Batch"/>
    <x:tableColumn id="3" name="단위"/>
    <x:tableColumn id="4" name="작업"/>
    <x:tableColumn id="5" name="완료 조건"/>
    <x:tableColumn id="6" name="주의 / 의존성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ipelineTable" displayName="PipelineTable" ref="A4:F18" headerRowCount="1" totalsRowCount="0" totalsRowShown="0">
  <x:tableColumns count="6">
    <x:tableColumn id="1" name="Scope"/>
    <x:tableColumn id="2" name="항목"/>
    <x:tableColumn id="3" name="Status"/>
    <x:tableColumn id="4" name="실제 현재 상태"/>
    <x:tableColumn id="5" name="후속 제작에서 할 일"/>
    <x:tableColumn id="6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39924122abc4ed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7734b528987467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d95ecf1c177445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c29f9f0090d4a5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d8770453b24489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082157e4eb4488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fe2ab0e441d44dad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2.5" hidden="0" customWidth="1"/>
    <x:col min="2" max="2" width="11.25" hidden="0" customWidth="1"/>
    <x:col min="3" max="3" width="23.75" hidden="0" customWidth="1"/>
    <x:col min="4" max="4" width="12.5" hidden="0" customWidth="1"/>
    <x:col min="5" max="5" width="13.75" hidden="0" customWidth="1"/>
    <x:col min="6" max="6" width="23.75" hidden="0" customWidth="1"/>
    <x:col min="7" max="7" width="23.75" hidden="0" customWidth="1"/>
    <x:col min="8" max="8" width="13.75" hidden="0" customWidth="1"/>
    <x:col min="9" max="9" width="12.5" hidden="0" customWidth="1"/>
    <x:col min="10" max="10" width="80" hidden="0" customWidth="1"/>
  </x:cols>
  <x:sheetData>
    <x:row r="1" ht="30" customHeight="1">
      <x:c r="A1" s="2" t="str">
        <x:v>Dragon Production Board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ht="23" customHeight="1">
      <x:c r="A2" s="3" t="str">
        <x:v>2026-10-02 · 현재 프로젝트 조사 / 제작 우선순위는 제안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31.5" customHeight="1">
      <x:c r="A4" s="7" t="str">
        <x:v>Element</x:v>
      </x:c>
      <x:c r="B4" s="7" t="str">
        <x:v>드래곤 수</x:v>
      </x:c>
      <x:c r="C4" s="7" t="str">
        <x:v>Dragon</x:v>
      </x:c>
      <x:c r="D4" s="7" t="str">
        <x:v>캐릭터 완료</x:v>
      </x:c>
      <x:c r="E4" s="7" t="str">
        <x:v>공용 후보 수</x:v>
      </x:c>
      <x:c r="F4" s="7" t="str">
        <x:v>명시적 Pool</x:v>
      </x:c>
      <x:c r="G4" s="7" t="str">
        <x:v>New VFX Art Direction</x:v>
      </x:c>
      <x:c r="H4" s="7" t="str">
        <x:v>UI Theme</x:v>
      </x:c>
      <x:c r="I4" s="7" t="str">
        <x:v>권장 순서</x:v>
      </x:c>
      <x:c r="J4" s="7" t="str">
        <x:v>근거 / 검수 부담</x:v>
      </x:c>
    </x:row>
    <x:row r="5" ht="61.5" customHeight="1">
      <x:c r="A5" s="5" t="str">
        <x:v>Ice</x:v>
      </x:c>
      <x:c r="B5" s="5" t="n">
        <x:f>COUNTIF('Board'!$B$5:$B$20,A5)</x:f>
        <x:v>2</x:v>
      </x:c>
      <x:c r="C5" s="5" t="str">
        <x:v>오로라 / 루나</x:v>
      </x:c>
      <x:c r="D5" s="5" t="n">
        <x:f>COUNTIFS('Board'!$B$5:$B$20,A5,'Board'!$F$5:$F$20,"DONE")</x:f>
        <x:v>0</x:v>
      </x:c>
      <x:c r="E5" s="5" t="n">
        <x:v>4</x:v>
      </x:c>
      <x:c r="F5" s="5" t="str">
        <x:v>NOT STARTED</x:v>
      </x:c>
      <x:c r="G5" s="5" t="str">
        <x:v>NEEDS DESIGN</x:v>
      </x:c>
      <x:c r="H5" s="5" t="str">
        <x:v>EXISTING</x:v>
      </x:c>
      <x:c r="I5" s="5" t="str">
        <x:v>P1</x:v>
      </x:c>
      <x:c r="J5" s="5" t="str">
        <x:v>2마리 모두 3형태 참조·기본 스킬 보유. 오로라와 루나 중간형은 검증된 사족형 절차와 가까움. 루나 최종형은 직립/지팡이 검수 필요.</x:v>
      </x:c>
    </x:row>
    <x:row r="6" ht="61.5" customHeight="1">
      <x:c r="A6" s="5" t="str">
        <x:v>Fire</x:v>
      </x:c>
      <x:c r="B6" s="5" t="n">
        <x:f>COUNTIF('Board'!$B$5:$B$20,A6)</x:f>
        <x:v>2</x:v>
      </x:c>
      <x:c r="C6" s="5" t="str">
        <x:v>엠버 / 솔</x:v>
      </x:c>
      <x:c r="D6" s="5" t="n">
        <x:f>COUNTIFS('Board'!$B$5:$B$20,A6,'Board'!$F$5:$F$20,"DONE")</x:f>
        <x:v>0</x:v>
      </x:c>
      <x:c r="E6" s="5" t="n">
        <x:v>4</x:v>
      </x:c>
      <x:c r="F6" s="5" t="str">
        <x:v>NOT STARTED</x:v>
      </x:c>
      <x:c r="G6" s="5" t="str">
        <x:v>NEEDS DESIGN</x:v>
      </x:c>
      <x:c r="H6" s="5" t="str">
        <x:v>EXISTING</x:v>
      </x:c>
      <x:c r="I6" s="5" t="str">
        <x:v>P2</x:v>
      </x:c>
      <x:c r="J6" s="5" t="str">
        <x:v>2마리·4개 공용 후보·참조 완비. 엠버/솔을 묶어 이족·날개 포즈 규칙 확보. 기본 전투 시스템은 그대로 사용 가능.</x:v>
      </x:c>
    </x:row>
    <x:row r="7" ht="61.5" customHeight="1">
      <x:c r="A7" s="5" t="str">
        <x:v>Earth</x:v>
      </x:c>
      <x:c r="B7" s="5" t="n">
        <x:f>COUNTIF('Board'!$B$5:$B$20,A7)</x:f>
        <x:v>2</x:v>
      </x:c>
      <x:c r="C7" s="5" t="str">
        <x:v>블랜디 / 티탄</x:v>
      </x:c>
      <x:c r="D7" s="5" t="n">
        <x:f>COUNTIFS('Board'!$B$5:$B$20,A7,'Board'!$F$5:$F$20,"DONE")</x:f>
        <x:v>0</x:v>
      </x:c>
      <x:c r="E7" s="5" t="n">
        <x:v>4</x:v>
      </x:c>
      <x:c r="F7" s="5" t="str">
        <x:v>NOT STARTED</x:v>
      </x:c>
      <x:c r="G7" s="5" t="str">
        <x:v>NEEDS DESIGN</x:v>
      </x:c>
      <x:c r="H7" s="5" t="str">
        <x:v>EXISTING</x:v>
      </x:c>
      <x:c r="I7" s="5" t="str">
        <x:v>P3</x:v>
      </x:c>
      <x:c r="J7" s="5" t="str">
        <x:v>2마리·4개 공용 후보·참조 완비. 티탄/블랜디의 이족·중량형을 Fire에서 검증한 정렬과 함께 처리.</x:v>
      </x:c>
    </x:row>
    <x:row r="8" ht="61.5" customHeight="1">
      <x:c r="A8" s="5" t="str">
        <x:v>Lightning</x:v>
      </x:c>
      <x:c r="B8" s="5" t="n">
        <x:f>COUNTIF('Board'!$B$5:$B$20,A8)</x:f>
        <x:v>2</x:v>
      </x:c>
      <x:c r="C8" s="5" t="str">
        <x:v>스톰 / 볼트</x:v>
      </x:c>
      <x:c r="D8" s="5" t="n">
        <x:f>COUNTIFS('Board'!$B$5:$B$20,A8,'Board'!$F$5:$F$20,"DONE")</x:f>
        <x:v>0</x:v>
      </x:c>
      <x:c r="E8" s="5" t="n">
        <x:v>4</x:v>
      </x:c>
      <x:c r="F8" s="5" t="str">
        <x:v>NOT STARTED</x:v>
      </x:c>
      <x:c r="G8" s="5" t="str">
        <x:v>NEEDS DESIGN</x:v>
      </x:c>
      <x:c r="H8" s="5" t="str">
        <x:v>EXISTING</x:v>
      </x:c>
      <x:c r="I8" s="5" t="str">
        <x:v>P4</x:v>
      </x:c>
      <x:c r="J8" s="5" t="str">
        <x:v>2마리·4개 자체 후보. 볼트 이족/스톰 부유형 및 Wind 추가 학습 때문에 앞 그룹보다 연결 검수가 많음.</x:v>
      </x:c>
    </x:row>
    <x:row r="9" ht="61.5" customHeight="1">
      <x:c r="A9" s="5" t="str">
        <x:v>Light</x:v>
      </x:c>
      <x:c r="B9" s="5" t="n">
        <x:f>COUNTIF('Board'!$B$5:$B$20,A9)</x:f>
        <x:v>2</x:v>
      </x:c>
      <x:c r="C9" s="5" t="str">
        <x:v>크로노 / 단테</x:v>
      </x:c>
      <x:c r="D9" s="5" t="n">
        <x:f>COUNTIFS('Board'!$B$5:$B$20,A9,'Board'!$F$5:$F$20,"DONE")</x:f>
        <x:v>0</x:v>
      </x:c>
      <x:c r="E9" s="5" t="n">
        <x:v>4</x:v>
      </x:c>
      <x:c r="F9" s="5" t="str">
        <x:v>NOT STARTED</x:v>
      </x:c>
      <x:c r="G9" s="5" t="str">
        <x:v>NEEDS DESIGN</x:v>
      </x:c>
      <x:c r="H9" s="5" t="str">
        <x:v>EXISTING</x:v>
      </x:c>
      <x:c r="I9" s="5" t="str">
        <x:v>P5</x:v>
      </x:c>
      <x:c r="J9" s="5" t="str">
        <x:v>2마리·4개 공용 후보. 크로노 사족형은 재사용 용이, 단테 자세 전환·장식 단순화 확인. 신규 전투 시스템 필요는 아직 미확정.</x:v>
      </x:c>
    </x:row>
    <x:row r="10" ht="61.5" customHeight="1">
      <x:c r="A10" s="5" t="str">
        <x:v>Wind</x:v>
      </x:c>
      <x:c r="B10" s="5" t="n">
        <x:f>COUNTIF('Board'!$B$5:$B$20,A10)</x:f>
        <x:v>2</x:v>
      </x:c>
      <x:c r="C10" s="5" t="str">
        <x:v>미르 / 제피르</x:v>
      </x:c>
      <x:c r="D10" s="5" t="n">
        <x:f>COUNTIFS('Board'!$B$5:$B$20,A10,'Board'!$F$5:$F$20,"DONE")</x:f>
        <x:v>1</x:v>
      </x:c>
      <x:c r="E10" s="5" t="n">
        <x:v>5</x:v>
      </x:c>
      <x:c r="F10" s="5" t="str">
        <x:v>WindShared EXISTING</x:v>
      </x:c>
      <x:c r="G10" s="5" t="str">
        <x:v>NEEDS DESIGN</x:v>
      </x:c>
      <x:c r="H10" s="5" t="str">
        <x:v>EXISTING</x:v>
      </x:c>
      <x:c r="I10" s="5" t="str">
        <x:v>P6</x:v>
      </x:c>
      <x:c r="J10" s="5" t="str">
        <x:v>2마리 중 제피르 완료, 미르 1마리 잔여. 공용 Pool은 유일하게 존재하나 미르의 긴 몸/부유 기준점 검수가 필요. 순위는 새 속성 복제 검증을 먼저 하는 제안.</x:v>
      </x:c>
    </x:row>
    <x:row r="11" ht="61.5" customHeight="1">
      <x:c r="A11" s="5" t="str">
        <x:v>Water</x:v>
      </x:c>
      <x:c r="B11" s="5" t="n">
        <x:f>COUNTIF('Board'!$B$5:$B$20,A11)</x:f>
        <x:v>2</x:v>
      </x:c>
      <x:c r="C11" s="5" t="str">
        <x:v>옥타 / 샤키드</x:v>
      </x:c>
      <x:c r="D11" s="5" t="n">
        <x:f>COUNTIFS('Board'!$B$5:$B$20,A11,'Board'!$F$5:$F$20,"DONE")</x:f>
        <x:v>0</x:v>
      </x:c>
      <x:c r="E11" s="5" t="n">
        <x:v>4</x:v>
      </x:c>
      <x:c r="F11" s="5" t="str">
        <x:v>NOT STARTED</x:v>
      </x:c>
      <x:c r="G11" s="5" t="str">
        <x:v>NEEDS DESIGN</x:v>
      </x:c>
      <x:c r="H11" s="5" t="str">
        <x:v>EXISTING</x:v>
      </x:c>
      <x:c r="I11" s="5" t="str">
        <x:v>P7</x:v>
      </x:c>
      <x:c r="J11" s="5" t="str">
        <x:v>2마리·4개 자체 후보. 샤키드의 Ice 추가 학습과 옥타 촉수형 때문에 공용 정렬·교차 속성 검사 후 진행 권장.</x:v>
      </x:c>
    </x:row>
    <x:row r="12" ht="61.5" customHeight="1">
      <x:c r="A12" s="5" t="str">
        <x:v>Dark</x:v>
      </x:c>
      <x:c r="B12" s="5" t="n">
        <x:f>COUNTIF('Board'!$B$5:$B$20,A12)</x:f>
        <x:v>2</x:v>
      </x:c>
      <x:c r="C12" s="5" t="str">
        <x:v>노바 / 베놈</x:v>
      </x:c>
      <x:c r="D12" s="5" t="n">
        <x:f>COUNTIFS('Board'!$B$5:$B$20,A12,'Board'!$F$5:$F$20,"DONE")</x:f>
        <x:v>0</x:v>
      </x:c>
      <x:c r="E12" s="5" t="n">
        <x:v>4</x:v>
      </x:c>
      <x:c r="F12" s="5" t="str">
        <x:v>NOT STARTED</x:v>
      </x:c>
      <x:c r="G12" s="5" t="str">
        <x:v>NEEDS DESIGN</x:v>
      </x:c>
      <x:c r="H12" s="5" t="str">
        <x:v>EXISTING</x:v>
      </x:c>
      <x:c r="I12" s="5" t="str">
        <x:v>P8</x:v>
      </x:c>
      <x:c r="J12" s="5" t="str">
        <x:v>2마리·4개 공용 후보. 베놈의 다두 프레임 일관성과 노바의 장식 밀도 검수가 많아 표준 제작 규칙 축적 후 진행 권장.</x:v>
      </x:c>
    </x:row>
    <x:row r="15" ht="27" customHeight="1">
      <x:c r="A15" s="11" t="str">
        <x:v>작업량</x:v>
      </x:c>
      <x:c r="B15" s="11" t="str">
        <x:v>수량</x:v>
      </x:c>
      <x:c r="C15" s="12" t="str">
        <x:v>의미</x:v>
      </x:c>
    </x:row>
    <x:row r="16" ht="41.25" customHeight="1">
      <x:c r="A16" t="str">
        <x:v>전체 드래곤</x:v>
      </x:c>
      <x:c r="B16" t="n">
        <x:f>SUM(B5:B12)</x:f>
        <x:v>16</x:v>
      </x:c>
      <x:c r="C16" s="8" t="str">
        <x:v>제피르 포함</x:v>
      </x:c>
    </x:row>
    <x:row r="17" ht="41.25" customHeight="1">
      <x:c r="A17" t="str">
        <x:v>완료 드래곤</x:v>
      </x:c>
      <x:c r="B17" t="n">
        <x:f>SUM(D5:D12)</x:f>
        <x:v>1</x:v>
      </x:c>
      <x:c r="C17" s="8" t="str">
        <x:v>3형태 캐릭터 세트 기준</x:v>
      </x:c>
    </x:row>
    <x:row r="18" ht="41.25" customHeight="1">
      <x:c r="A18" t="str">
        <x:v>남은 형태</x:v>
      </x:c>
      <x:c r="B18" t="n">
        <x:f>(B16-B17)*3</x:f>
        <x:v>45</x:v>
      </x:c>
      <x:c r="C18" s="8" t="str">
        <x:v>드래곤당 3형태</x:v>
      </x:c>
    </x:row>
    <x:row r="19" ht="41.25" customHeight="1">
      <x:c r="A19" t="str">
        <x:v>남은 상태 클립</x:v>
      </x:c>
      <x:c r="B19" t="n">
        <x:f>B18*6</x:f>
        <x:v>270</x:v>
      </x:c>
      <x:c r="C19" s="8" t="str">
        <x:v>형태당 6상태</x:v>
      </x:c>
    </x:row>
    <x:row r="20" ht="41.25" customHeight="1">
      <x:c r="A20" t="str">
        <x:v>프레임 산정 예시</x:v>
      </x:c>
      <x:c r="B20" t="n">
        <x:f>B19*4</x:f>
        <x:v>1080</x:v>
      </x:c>
      <x:c r="C20" s="8" t="str">
        <x:v>상태당 4프레임 가정. 확정 견적 아님</x:v>
      </x:c>
    </x:row>
  </x:sheetData>
  <x:conditionalFormatting sqref="A5:J12">
    <x:cfRule type="cellIs" dxfId="0" priority="1" operator="equal">
      <x:formula>"DONE"</x:formula>
    </x:cfRule>
    <x:cfRule type="cellIs" dxfId="1" priority="2" operator="equal">
      <x:formula>"NEEDS DESIGN"</x:formula>
    </x:cfRule>
    <x:cfRule type="cellIs" dxfId="2" priority="3" operator="equal">
      <x:formula>"NEEDS REMAKE"</x:formula>
    </x:cfRule>
    <x:cfRule type="cellIs" dxfId="3" priority="4" operator="equal">
      <x:formula>"NOT STARTED"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39924122abc4ed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.130000114440918" hidden="0" customWidth="1"/>
    <x:col min="2" max="2" width="12.5" hidden="0" customWidth="1"/>
    <x:col min="3" max="3" width="17.5" hidden="0" customWidth="1"/>
    <x:col min="4" max="4" width="17.5" hidden="0" customWidth="1"/>
    <x:col min="5" max="5" width="17.5" hidden="0" customWidth="1"/>
    <x:col min="6" max="6" width="18.1299991607666" hidden="0" customWidth="1"/>
    <x:col min="7" max="7" width="37.5" hidden="0" customWidth="1"/>
    <x:col min="8" max="8" width="22.5" hidden="0" customWidth="1"/>
    <x:col min="9" max="9" width="21.25" hidden="0" customWidth="1"/>
    <x:col min="10" max="10" width="18.75" hidden="0" customWidth="1"/>
    <x:col min="11" max="11" width="10.630000114440918" hidden="0" customWidth="1"/>
    <x:col min="12" max="12" width="16.25" hidden="0" customWidth="1"/>
    <x:col min="13" max="13" width="16.8799991607666" hidden="0" customWidth="1"/>
    <x:col min="14" max="14" width="53.75" hidden="0" customWidth="1"/>
  </x:cols>
  <x:sheetData>
    <x:row r="1" ht="30" customHeight="1">
      <x:c r="A1" s="2" t="str">
        <x:v>전체 드래곤 제작 현황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3" customHeight="1">
      <x:c r="A2" s="3" t="str">
        <x:v>DONE 완료 / EXISTING 기존 자료·기능 있음 / NEEDS REMAKE 재제작 / NEEDS DESIGN 기획 필요 / NOT STARTED 미착수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 ht="31.5" customHeight="1">
      <x:c r="A4" s="7" t="str">
        <x:v>Dragon</x:v>
      </x:c>
      <x:c r="B4" s="7" t="str">
        <x:v>Element</x:v>
      </x:c>
      <x:c r="C4" s="7" t="str">
        <x:v>Base</x:v>
      </x:c>
      <x:c r="D4" s="7" t="str">
        <x:v>Middle</x:v>
      </x:c>
      <x:c r="E4" s="7" t="str">
        <x:v>Final</x:v>
      </x:c>
      <x:c r="F4" s="7" t="str">
        <x:v>Animation Set</x:v>
      </x:c>
      <x:c r="G4" s="7" t="str">
        <x:v>Element Skill Pool</x:v>
      </x:c>
      <x:c r="H4" s="7" t="str">
        <x:v>New VFX Art Direction</x:v>
      </x:c>
      <x:c r="I4" s="7" t="str">
        <x:v>Legendary Signature</x:v>
      </x:c>
      <x:c r="J4" s="7" t="str">
        <x:v>Pipeline Status</x:v>
      </x:c>
      <x:c r="K4" s="7" t="str">
        <x:v>Priority</x:v>
      </x:c>
      <x:c r="L4" s="7" t="str">
        <x:v>현재 기본 스킬</x:v>
      </x:c>
      <x:c r="M4" s="7" t="str">
        <x:v>Legacy VFX</x:v>
      </x:c>
      <x:c r="N4" s="7" t="str">
        <x:v>Notes</x:v>
      </x:c>
    </x:row>
    <x:row r="5" ht="58.5" customHeight="1">
      <x:c r="A5" s="5" t="str">
        <x:v>오로라</x:v>
      </x:c>
      <x:c r="B5" s="5" t="str">
        <x:v>Ice</x:v>
      </x:c>
      <x:c r="C5" s="5" t="str">
        <x:v>NEEDS REMAKE</x:v>
      </x:c>
      <x:c r="D5" s="5" t="str">
        <x:v>NEEDS REMAKE</x:v>
      </x:c>
      <x:c r="E5" s="5" t="str">
        <x:v>NEEDS REMAKE</x:v>
      </x:c>
      <x:c r="F5" s="5" t="str">
        <x:v>NOT STARTED</x:v>
      </x:c>
      <x:c r="G5" s="5" t="str">
        <x:v>Ice 후보 4개 / Pool 미생성</x:v>
      </x:c>
      <x:c r="H5" s="5" t="str">
        <x:v>NEEDS DESIGN</x:v>
      </x:c>
      <x:c r="I5" s="5" t="str">
        <x:v>NEEDS DESIGN</x:v>
      </x:c>
      <x:c r="J5" s="5" t="str">
        <x:v>EXISTING</x:v>
      </x:c>
      <x:c r="K5" s="5" t="str">
        <x:v>P1</x:v>
      </x:c>
      <x:c r="L5" s="5" t="str">
        <x:v>고드름침</x:v>
      </x:c>
      <x:c r="M5" s="5" t="str">
        <x:v>EXISTING</x:v>
      </x:c>
      <x:c r="N5" s="5" t="str">
        <x:v>사족형 재사용 적합. 큰 날개·장식의 픽셀 밀도와 외곽 정리</x:v>
      </x:c>
    </x:row>
    <x:row r="6" ht="58.5" customHeight="1">
      <x:c r="A6" s="5" t="str">
        <x:v>루나</x:v>
      </x:c>
      <x:c r="B6" s="5" t="str">
        <x:v>Ice</x:v>
      </x:c>
      <x:c r="C6" s="5" t="str">
        <x:v>NEEDS REMAKE</x:v>
      </x:c>
      <x:c r="D6" s="5" t="str">
        <x:v>NEEDS REMAKE</x:v>
      </x:c>
      <x:c r="E6" s="5" t="str">
        <x:v>NEEDS REMAKE</x:v>
      </x:c>
      <x:c r="F6" s="5" t="str">
        <x:v>NOT STARTED</x:v>
      </x:c>
      <x:c r="G6" s="5" t="str">
        <x:v>Ice 후보 4개 / Pool 미생성</x:v>
      </x:c>
      <x:c r="H6" s="5" t="str">
        <x:v>NEEDS DESIGN</x:v>
      </x:c>
      <x:c r="I6" s="5" t="str">
        <x:v>NEEDS DESIGN</x:v>
      </x:c>
      <x:c r="J6" s="5" t="str">
        <x:v>EXISTING</x:v>
      </x:c>
      <x:c r="K6" s="5" t="str">
        <x:v>P1</x:v>
      </x:c>
      <x:c r="L6" s="5" t="str">
        <x:v>고드름침</x:v>
      </x:c>
      <x:c r="M6" s="5" t="str">
        <x:v>EXISTING</x:v>
      </x:c>
      <x:c r="N6" s="5" t="str">
        <x:v>사족형 중간형과 지팡이·직립 최종형의 포즈 전환 검수</x:v>
      </x:c>
    </x:row>
    <x:row r="7" ht="58.5" customHeight="1">
      <x:c r="A7" s="5" t="str">
        <x:v>엠버</x:v>
      </x:c>
      <x:c r="B7" s="5" t="str">
        <x:v>Fire</x:v>
      </x:c>
      <x:c r="C7" s="5" t="str">
        <x:v>NEEDS REMAKE</x:v>
      </x:c>
      <x:c r="D7" s="5" t="str">
        <x:v>NEEDS REMAKE</x:v>
      </x:c>
      <x:c r="E7" s="5" t="str">
        <x:v>NEEDS REMAKE</x:v>
      </x:c>
      <x:c r="F7" s="5" t="str">
        <x:v>NOT STARTED</x:v>
      </x:c>
      <x:c r="G7" s="5" t="str">
        <x:v>Fire 후보 4개 / Pool 미생성</x:v>
      </x:c>
      <x:c r="H7" s="5" t="str">
        <x:v>NEEDS DESIGN</x:v>
      </x:c>
      <x:c r="I7" s="5" t="str">
        <x:v>NEEDS DESIGN</x:v>
      </x:c>
      <x:c r="J7" s="5" t="str">
        <x:v>EXISTING</x:v>
      </x:c>
      <x:c r="K7" s="5" t="str">
        <x:v>P2</x:v>
      </x:c>
      <x:c r="L7" s="5" t="str">
        <x:v>화염 폭발</x:v>
      </x:c>
      <x:c r="M7" s="5" t="str">
        <x:v>EXISTING</x:v>
      </x:c>
      <x:c r="N7" s="5" t="str">
        <x:v>중간형 이족 자세와 최종형 사족 자세 차이. 몸에 그려진 불꽃은 캐릭터 참조</x:v>
      </x:c>
    </x:row>
    <x:row r="8" ht="58.5" customHeight="1">
      <x:c r="A8" s="5" t="str">
        <x:v>솔</x:v>
      </x:c>
      <x:c r="B8" s="5" t="str">
        <x:v>Fire</x:v>
      </x:c>
      <x:c r="C8" s="5" t="str">
        <x:v>NEEDS REMAKE</x:v>
      </x:c>
      <x:c r="D8" s="5" t="str">
        <x:v>NEEDS REMAKE</x:v>
      </x:c>
      <x:c r="E8" s="5" t="str">
        <x:v>NEEDS REMAKE</x:v>
      </x:c>
      <x:c r="F8" s="5" t="str">
        <x:v>NOT STARTED</x:v>
      </x:c>
      <x:c r="G8" s="5" t="str">
        <x:v>Fire 후보 4개 / Pool 미생성</x:v>
      </x:c>
      <x:c r="H8" s="5" t="str">
        <x:v>NEEDS DESIGN</x:v>
      </x:c>
      <x:c r="I8" s="5" t="str">
        <x:v>NEEDS DESIGN</x:v>
      </x:c>
      <x:c r="J8" s="5" t="str">
        <x:v>EXISTING</x:v>
      </x:c>
      <x:c r="K8" s="5" t="str">
        <x:v>P2</x:v>
      </x:c>
      <x:c r="L8" s="5" t="str">
        <x:v>화염 폭발</x:v>
      </x:c>
      <x:c r="M8" s="5" t="str">
        <x:v>EXISTING</x:v>
      </x:c>
      <x:c r="N8" s="5" t="str">
        <x:v>깃털 날개와 공중 자세의 지면 정렬 검수</x:v>
      </x:c>
    </x:row>
    <x:row r="9" ht="58.5" customHeight="1">
      <x:c r="A9" s="5" t="str">
        <x:v>블랜디</x:v>
      </x:c>
      <x:c r="B9" s="5" t="str">
        <x:v>Earth</x:v>
      </x:c>
      <x:c r="C9" s="5" t="str">
        <x:v>NEEDS REMAKE</x:v>
      </x:c>
      <x:c r="D9" s="5" t="str">
        <x:v>NEEDS REMAKE</x:v>
      </x:c>
      <x:c r="E9" s="5" t="str">
        <x:v>NEEDS REMAKE</x:v>
      </x:c>
      <x:c r="F9" s="5" t="str">
        <x:v>NOT STARTED</x:v>
      </x:c>
      <x:c r="G9" s="5" t="str">
        <x:v>Earth 후보 4개 / Pool 미생성</x:v>
      </x:c>
      <x:c r="H9" s="5" t="str">
        <x:v>NEEDS DESIGN</x:v>
      </x:c>
      <x:c r="I9" s="5" t="str">
        <x:v>NEEDS DESIGN</x:v>
      </x:c>
      <x:c r="J9" s="5" t="str">
        <x:v>EXISTING</x:v>
      </x:c>
      <x:c r="K9" s="5" t="str">
        <x:v>P3</x:v>
      </x:c>
      <x:c r="L9" s="5" t="str">
        <x:v>짱돌 스매쉬</x:v>
      </x:c>
      <x:c r="M9" s="5" t="str">
        <x:v>EXISTING</x:v>
      </x:c>
      <x:c r="N9" s="5" t="str">
        <x:v>이족형 등갑·발톱 실루엣. 기존 데이터 이름은 블랜디</x:v>
      </x:c>
    </x:row>
    <x:row r="10" ht="58.5" customHeight="1">
      <x:c r="A10" s="5" t="str">
        <x:v>티탄</x:v>
      </x:c>
      <x:c r="B10" s="5" t="str">
        <x:v>Earth</x:v>
      </x:c>
      <x:c r="C10" s="5" t="str">
        <x:v>NEEDS REMAKE</x:v>
      </x:c>
      <x:c r="D10" s="5" t="str">
        <x:v>NEEDS REMAKE</x:v>
      </x:c>
      <x:c r="E10" s="5" t="str">
        <x:v>NEEDS REMAKE</x:v>
      </x:c>
      <x:c r="F10" s="5" t="str">
        <x:v>NOT STARTED</x:v>
      </x:c>
      <x:c r="G10" s="5" t="str">
        <x:v>Earth 후보 4개 / Pool 미생성</x:v>
      </x:c>
      <x:c r="H10" s="5" t="str">
        <x:v>NEEDS DESIGN</x:v>
      </x:c>
      <x:c r="I10" s="5" t="str">
        <x:v>NEEDS DESIGN</x:v>
      </x:c>
      <x:c r="J10" s="5" t="str">
        <x:v>EXISTING</x:v>
      </x:c>
      <x:c r="K10" s="5" t="str">
        <x:v>P3</x:v>
      </x:c>
      <x:c r="L10" s="5" t="str">
        <x:v>짱돌 스매쉬</x:v>
      </x:c>
      <x:c r="M10" s="5" t="str">
        <x:v>EXISTING</x:v>
      </x:c>
      <x:c r="N10" s="5" t="str">
        <x:v>이족형의 무게 중심·큰 꼬리·발 정렬 검수</x:v>
      </x:c>
    </x:row>
    <x:row r="11" ht="58.5" customHeight="1">
      <x:c r="A11" s="5" t="str">
        <x:v>스톰</x:v>
      </x:c>
      <x:c r="B11" s="5" t="str">
        <x:v>Lightning</x:v>
      </x:c>
      <x:c r="C11" s="5" t="str">
        <x:v>NEEDS REMAKE</x:v>
      </x:c>
      <x:c r="D11" s="5" t="str">
        <x:v>NEEDS REMAKE</x:v>
      </x:c>
      <x:c r="E11" s="5" t="str">
        <x:v>NEEDS REMAKE</x:v>
      </x:c>
      <x:c r="F11" s="5" t="str">
        <x:v>NOT STARTED</x:v>
      </x:c>
      <x:c r="G11" s="5" t="str">
        <x:v>Lightning 후보 4개 / Pool 미생성; Wind 추가 5개</x:v>
      </x:c>
      <x:c r="H11" s="5" t="str">
        <x:v>NEEDS DESIGN</x:v>
      </x:c>
      <x:c r="I11" s="5" t="str">
        <x:v>NEEDS DESIGN</x:v>
      </x:c>
      <x:c r="J11" s="5" t="str">
        <x:v>EXISTING</x:v>
      </x:c>
      <x:c r="K11" s="5" t="str">
        <x:v>P4</x:v>
      </x:c>
      <x:c r="L11" s="5" t="str">
        <x:v>전기 쇼크</x:v>
      </x:c>
      <x:c r="M11" s="5" t="str">
        <x:v>EXISTING</x:v>
      </x:c>
      <x:c r="N11" s="5" t="str">
        <x:v>주속성 Lightning, Wind 스킬도 학습 가능. 추가 Pool 연결 시 유지 필요</x:v>
      </x:c>
    </x:row>
    <x:row r="12" ht="58.5" customHeight="1">
      <x:c r="A12" s="5" t="str">
        <x:v>볼트</x:v>
      </x:c>
      <x:c r="B12" s="5" t="str">
        <x:v>Lightning</x:v>
      </x:c>
      <x:c r="C12" s="5" t="str">
        <x:v>NEEDS REMAKE</x:v>
      </x:c>
      <x:c r="D12" s="5" t="str">
        <x:v>NEEDS REMAKE</x:v>
      </x:c>
      <x:c r="E12" s="5" t="str">
        <x:v>NEEDS REMAKE</x:v>
      </x:c>
      <x:c r="F12" s="5" t="str">
        <x:v>NOT STARTED</x:v>
      </x:c>
      <x:c r="G12" s="5" t="str">
        <x:v>Lightning 후보 4개 / Pool 미생성</x:v>
      </x:c>
      <x:c r="H12" s="5" t="str">
        <x:v>NEEDS DESIGN</x:v>
      </x:c>
      <x:c r="I12" s="5" t="str">
        <x:v>NEEDS DESIGN</x:v>
      </x:c>
      <x:c r="J12" s="5" t="str">
        <x:v>EXISTING</x:v>
      </x:c>
      <x:c r="K12" s="5" t="str">
        <x:v>P4</x:v>
      </x:c>
      <x:c r="L12" s="5" t="str">
        <x:v>전기 쇼크</x:v>
      </x:c>
      <x:c r="M12" s="5" t="str">
        <x:v>EXISTING</x:v>
      </x:c>
      <x:c r="N12" s="5" t="str">
        <x:v>이족형·최종형 무기. 작은 전투 화면에서 무기 포함 폭 검수</x:v>
      </x:c>
    </x:row>
    <x:row r="13" ht="58.5" customHeight="1">
      <x:c r="A13" s="5" t="str">
        <x:v>크로노</x:v>
      </x:c>
      <x:c r="B13" s="5" t="str">
        <x:v>Light</x:v>
      </x:c>
      <x:c r="C13" s="5" t="str">
        <x:v>NEEDS REMAKE</x:v>
      </x:c>
      <x:c r="D13" s="5" t="str">
        <x:v>NEEDS REMAKE</x:v>
      </x:c>
      <x:c r="E13" s="5" t="str">
        <x:v>NEEDS REMAKE</x:v>
      </x:c>
      <x:c r="F13" s="5" t="str">
        <x:v>NOT STARTED</x:v>
      </x:c>
      <x:c r="G13" s="5" t="str">
        <x:v>Light 후보 4개 / Pool 미생성</x:v>
      </x:c>
      <x:c r="H13" s="5" t="str">
        <x:v>NEEDS DESIGN</x:v>
      </x:c>
      <x:c r="I13" s="5" t="str">
        <x:v>NEEDS DESIGN</x:v>
      </x:c>
      <x:c r="J13" s="5" t="str">
        <x:v>EXISTING</x:v>
      </x:c>
      <x:c r="K13" s="5" t="str">
        <x:v>P5</x:v>
      </x:c>
      <x:c r="L13" s="5" t="str">
        <x:v>섬광 폭발</x:v>
      </x:c>
      <x:c r="M13" s="5" t="str">
        <x:v>EXISTING</x:v>
      </x:c>
      <x:c r="N13" s="5" t="str">
        <x:v>사족형. 시간 장식은 캐릭터 참조이며 전용기 기획은 미정</x:v>
      </x:c>
    </x:row>
    <x:row r="14" ht="58.5" customHeight="1">
      <x:c r="A14" s="5" t="str">
        <x:v>단테</x:v>
      </x:c>
      <x:c r="B14" s="5" t="str">
        <x:v>Light</x:v>
      </x:c>
      <x:c r="C14" s="5" t="str">
        <x:v>NEEDS REMAKE</x:v>
      </x:c>
      <x:c r="D14" s="5" t="str">
        <x:v>NEEDS REMAKE</x:v>
      </x:c>
      <x:c r="E14" s="5" t="str">
        <x:v>NEEDS REMAKE</x:v>
      </x:c>
      <x:c r="F14" s="5" t="str">
        <x:v>NOT STARTED</x:v>
      </x:c>
      <x:c r="G14" s="5" t="str">
        <x:v>Light 후보 4개 / Pool 미생성</x:v>
      </x:c>
      <x:c r="H14" s="5" t="str">
        <x:v>NEEDS DESIGN</x:v>
      </x:c>
      <x:c r="I14" s="5" t="str">
        <x:v>NEEDS DESIGN</x:v>
      </x:c>
      <x:c r="J14" s="5" t="str">
        <x:v>EXISTING</x:v>
      </x:c>
      <x:c r="K14" s="5" t="str">
        <x:v>P5</x:v>
      </x:c>
      <x:c r="L14" s="5" t="str">
        <x:v>섬광 폭발</x:v>
      </x:c>
      <x:c r="M14" s="5" t="str">
        <x:v>EXISTING</x:v>
      </x:c>
      <x:c r="N14" s="5" t="str">
        <x:v>중간 이족/최종 사족 자세와 날개·장식 폭 검수</x:v>
      </x:c>
    </x:row>
    <x:row r="15" ht="58.5" customHeight="1">
      <x:c r="A15" s="5" t="str">
        <x:v>미르</x:v>
      </x:c>
      <x:c r="B15" s="5" t="str">
        <x:v>Wind</x:v>
      </x:c>
      <x:c r="C15" s="5" t="str">
        <x:v>NEEDS REMAKE</x:v>
      </x:c>
      <x:c r="D15" s="5" t="str">
        <x:v>NEEDS REMAKE</x:v>
      </x:c>
      <x:c r="E15" s="5" t="str">
        <x:v>NEEDS REMAKE</x:v>
      </x:c>
      <x:c r="F15" s="5" t="str">
        <x:v>NOT STARTED</x:v>
      </x:c>
      <x:c r="G15" s="5" t="str">
        <x:v>Wind 후보 5개 / Pool 미연결</x:v>
      </x:c>
      <x:c r="H15" s="5" t="str">
        <x:v>NEEDS DESIGN</x:v>
      </x:c>
      <x:c r="I15" s="5" t="str">
        <x:v>NEEDS DESIGN</x:v>
      </x:c>
      <x:c r="J15" s="5" t="str">
        <x:v>EXISTING</x:v>
      </x:c>
      <x:c r="K15" s="5" t="str">
        <x:v>P6</x:v>
      </x:c>
      <x:c r="L15" s="5" t="str">
        <x:v>질풍 강타</x:v>
      </x:c>
      <x:c r="M15" s="5" t="str">
        <x:v>EXISTING</x:v>
      </x:c>
      <x:c r="N15" s="5" t="str">
        <x:v>긴 몸·부유 자세·여의주. 발 하단 자동 정렬이 맞는지 별도 검수</x:v>
      </x:c>
    </x:row>
    <x:row r="16" ht="58.5" customHeight="1">
      <x:c r="A16" s="5" t="str">
        <x:v>제피르</x:v>
      </x:c>
      <x:c r="B16" s="5" t="str">
        <x:v>Wind</x:v>
      </x:c>
      <x:c r="C16" s="5" t="str">
        <x:v>DONE</x:v>
      </x:c>
      <x:c r="D16" s="5" t="str">
        <x:v>DONE</x:v>
      </x:c>
      <x:c r="E16" s="5" t="str">
        <x:v>DONE</x:v>
      </x:c>
      <x:c r="F16" s="5" t="str">
        <x:v>DONE</x:v>
      </x:c>
      <x:c r="G16" s="5" t="str">
        <x:v>WindShared 연결: 5개</x:v>
      </x:c>
      <x:c r="H16" s="5" t="str">
        <x:v>NEEDS DESIGN</x:v>
      </x:c>
      <x:c r="I16" s="5" t="str">
        <x:v>DONE: 단천</x:v>
      </x:c>
      <x:c r="J16" s="5" t="str">
        <x:v>DONE</x:v>
      </x:c>
      <x:c r="K16" s="5" t="str">
        <x:v>DONE</x:v>
      </x:c>
      <x:c r="L16" s="5" t="str">
        <x:v>질풍 강타</x:v>
      </x:c>
      <x:c r="M16" s="5" t="str">
        <x:v>EXISTING</x:v>
      </x:c>
      <x:c r="N16" s="5" t="str">
        <x:v>3형태·5스킬 완료 기준. 폭풍참은 별도 기존 Common 데이터로 남아 있음</x:v>
      </x:c>
    </x:row>
    <x:row r="17" ht="58.5" customHeight="1">
      <x:c r="A17" s="5" t="str">
        <x:v>옥타</x:v>
      </x:c>
      <x:c r="B17" s="5" t="str">
        <x:v>Water</x:v>
      </x:c>
      <x:c r="C17" s="5" t="str">
        <x:v>NEEDS REMAKE</x:v>
      </x:c>
      <x:c r="D17" s="5" t="str">
        <x:v>NEEDS REMAKE</x:v>
      </x:c>
      <x:c r="E17" s="5" t="str">
        <x:v>NEEDS REMAKE</x:v>
      </x:c>
      <x:c r="F17" s="5" t="str">
        <x:v>NOT STARTED</x:v>
      </x:c>
      <x:c r="G17" s="5" t="str">
        <x:v>Water 후보 4개 / Pool 미생성</x:v>
      </x:c>
      <x:c r="H17" s="5" t="str">
        <x:v>NEEDS DESIGN</x:v>
      </x:c>
      <x:c r="I17" s="5" t="str">
        <x:v>NEEDS DESIGN</x:v>
      </x:c>
      <x:c r="J17" s="5" t="str">
        <x:v>EXISTING</x:v>
      </x:c>
      <x:c r="K17" s="5" t="str">
        <x:v>P7</x:v>
      </x:c>
      <x:c r="L17" s="5" t="str">
        <x:v>버블 샷</x:v>
      </x:c>
      <x:c r="M17" s="5" t="str">
        <x:v>EXISTING</x:v>
      </x:c>
      <x:c r="N17" s="5" t="str">
        <x:v>촉수형. 최하단 픽셀 평균을 발로 보는 수입 규칙 검수</x:v>
      </x:c>
    </x:row>
    <x:row r="18" ht="58.5" customHeight="1">
      <x:c r="A18" s="5" t="str">
        <x:v>샤키드</x:v>
      </x:c>
      <x:c r="B18" s="5" t="str">
        <x:v>Water</x:v>
      </x:c>
      <x:c r="C18" s="5" t="str">
        <x:v>NEEDS REMAKE</x:v>
      </x:c>
      <x:c r="D18" s="5" t="str">
        <x:v>NEEDS REMAKE</x:v>
      </x:c>
      <x:c r="E18" s="5" t="str">
        <x:v>NEEDS REMAKE</x:v>
      </x:c>
      <x:c r="F18" s="5" t="str">
        <x:v>NOT STARTED</x:v>
      </x:c>
      <x:c r="G18" s="5" t="str">
        <x:v>Water 후보 4개 / Pool 미생성; Ice 추가 4개</x:v>
      </x:c>
      <x:c r="H18" s="5" t="str">
        <x:v>NEEDS DESIGN</x:v>
      </x:c>
      <x:c r="I18" s="5" t="str">
        <x:v>NEEDS DESIGN</x:v>
      </x:c>
      <x:c r="J18" s="5" t="str">
        <x:v>EXISTING</x:v>
      </x:c>
      <x:c r="K18" s="5" t="str">
        <x:v>P7</x:v>
      </x:c>
      <x:c r="L18" s="5" t="str">
        <x:v>버블 샷</x:v>
      </x:c>
      <x:c r="M18" s="5" t="str">
        <x:v>EXISTING</x:v>
      </x:c>
      <x:c r="N18" s="5" t="str">
        <x:v>주속성 Water, Ice 스킬도 학습 가능. 추가 Pool 연결 시 유지 필요</x:v>
      </x:c>
    </x:row>
    <x:row r="19" ht="58.5" customHeight="1">
      <x:c r="A19" s="5" t="str">
        <x:v>노바</x:v>
      </x:c>
      <x:c r="B19" s="5" t="str">
        <x:v>Dark</x:v>
      </x:c>
      <x:c r="C19" s="5" t="str">
        <x:v>NEEDS REMAKE</x:v>
      </x:c>
      <x:c r="D19" s="5" t="str">
        <x:v>NEEDS REMAKE</x:v>
      </x:c>
      <x:c r="E19" s="5" t="str">
        <x:v>NEEDS REMAKE</x:v>
      </x:c>
      <x:c r="F19" s="5" t="str">
        <x:v>NOT STARTED</x:v>
      </x:c>
      <x:c r="G19" s="5" t="str">
        <x:v>Dark 후보 4개 / Pool 미생성</x:v>
      </x:c>
      <x:c r="H19" s="5" t="str">
        <x:v>NEEDS DESIGN</x:v>
      </x:c>
      <x:c r="I19" s="5" t="str">
        <x:v>NEEDS DESIGN</x:v>
      </x:c>
      <x:c r="J19" s="5" t="str">
        <x:v>EXISTING</x:v>
      </x:c>
      <x:c r="K19" s="5" t="str">
        <x:v>P8</x:v>
      </x:c>
      <x:c r="L19" s="5" t="str">
        <x:v>어둠 일격</x:v>
      </x:c>
      <x:c r="M19" s="5" t="str">
        <x:v>EXISTING</x:v>
      </x:c>
      <x:c r="N19" s="5" t="str">
        <x:v>이족형. 날개·꼬리 장식 밀도 축소 여부는 캐릭터 제작 단계에서 판단</x:v>
      </x:c>
    </x:row>
    <x:row r="20" ht="58.5" customHeight="1">
      <x:c r="A20" s="5" t="str">
        <x:v>베놈</x:v>
      </x:c>
      <x:c r="B20" s="5" t="str">
        <x:v>Dark</x:v>
      </x:c>
      <x:c r="C20" s="5" t="str">
        <x:v>NEEDS REMAKE</x:v>
      </x:c>
      <x:c r="D20" s="5" t="str">
        <x:v>NEEDS REMAKE</x:v>
      </x:c>
      <x:c r="E20" s="5" t="str">
        <x:v>NEEDS REMAKE</x:v>
      </x:c>
      <x:c r="F20" s="5" t="str">
        <x:v>NOT STARTED</x:v>
      </x:c>
      <x:c r="G20" s="5" t="str">
        <x:v>Dark 후보 4개 / Pool 미생성</x:v>
      </x:c>
      <x:c r="H20" s="5" t="str">
        <x:v>NEEDS DESIGN</x:v>
      </x:c>
      <x:c r="I20" s="5" t="str">
        <x:v>NEEDS DESIGN</x:v>
      </x:c>
      <x:c r="J20" s="5" t="str">
        <x:v>EXISTING</x:v>
      </x:c>
      <x:c r="K20" s="5" t="str">
        <x:v>P8</x:v>
      </x:c>
      <x:c r="L20" s="5" t="str">
        <x:v>어둠 일격</x:v>
      </x:c>
      <x:c r="M20" s="5" t="str">
        <x:v>EXISTING</x:v>
      </x:c>
      <x:c r="N20" s="5" t="str">
        <x:v>다두형. 프레임마다 머리 수와 실루엣 일관성 검수; 데이터 속성은 Dark</x:v>
      </x:c>
    </x:row>
  </x:sheetData>
  <x:conditionalFormatting sqref="A5:N20">
    <x:cfRule type="cellIs" dxfId="4" priority="1" operator="equal">
      <x:formula>"DONE"</x:formula>
    </x:cfRule>
    <x:cfRule type="cellIs" dxfId="5" priority="2" operator="equal">
      <x:formula>"NEEDS DESIGN"</x:formula>
    </x:cfRule>
    <x:cfRule type="cellIs" dxfId="6" priority="3" operator="equal">
      <x:formula>"NEEDS REMAKE"</x:formula>
    </x:cfRule>
    <x:cfRule type="cellIs" dxfId="7" priority="4" operator="equal">
      <x:formula>"NOT STARTED"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7734b528987467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.5" hidden="0" customWidth="1"/>
    <x:col min="2" max="2" width="11.25" hidden="0" customWidth="1"/>
    <x:col min="3" max="3" width="11.880000114440918" hidden="0" customWidth="1"/>
    <x:col min="4" max="4" width="14.380000114440918" hidden="0" customWidth="1"/>
    <x:col min="5" max="5" width="18.1299991607666" hidden="0" customWidth="1"/>
    <x:col min="6" max="6" width="16.8799991607666" hidden="0" customWidth="1"/>
    <x:col min="7" max="7" width="16.8799991607666" hidden="0" customWidth="1"/>
    <x:col min="8" max="8" width="16.8799991607666" hidden="0" customWidth="1"/>
    <x:col min="9" max="9" width="16.8799991607666" hidden="0" customWidth="1"/>
    <x:col min="10" max="10" width="16.8799991607666" hidden="0" customWidth="1"/>
    <x:col min="11" max="11" width="16.8799991607666" hidden="0" customWidth="1"/>
    <x:col min="12" max="12" width="33.75" hidden="0" customWidth="1"/>
    <x:col min="13" max="13" width="42.5" hidden="0" customWidth="1"/>
  </x:cols>
  <x:sheetData>
    <x:row r="1" ht="30" customHeight="1">
      <x:c r="A1" s="2" t="str">
        <x:v>형태별 캐릭터 작업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23" customHeight="1">
      <x:c r="A2" s="3" t="str">
        <x:v>EXISTING 레퍼런스와 DONE 게임용 Animation Set은 다름. 각 상태는 기존 4프레임 규칙으로 시작하는 계획.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31.5" customHeight="1">
      <x:c r="A4" s="7" t="str">
        <x:v>Dragon</x:v>
      </x:c>
      <x:c r="B4" s="7" t="str">
        <x:v>Element</x:v>
      </x:c>
      <x:c r="C4" s="7" t="str">
        <x:v>Form</x:v>
      </x:c>
      <x:c r="D4" s="7" t="str">
        <x:v>Reference</x:v>
      </x:c>
      <x:c r="E4" s="7" t="str">
        <x:v>Visual</x:v>
      </x:c>
      <x:c r="F4" s="7" t="str">
        <x:v>Idle</x:v>
      </x:c>
      <x:c r="G4" s="7" t="str">
        <x:v>Attack</x:v>
      </x:c>
      <x:c r="H4" s="7" t="str">
        <x:v>Skill</x:v>
      </x:c>
      <x:c r="I4" s="7" t="str">
        <x:v>Dodge</x:v>
      </x:c>
      <x:c r="J4" s="7" t="str">
        <x:v>Hit</x:v>
      </x:c>
      <x:c r="K4" s="7" t="str">
        <x:v>Death</x:v>
      </x:c>
      <x:c r="L4" s="7" t="str">
        <x:v>Animation Set 경로</x:v>
      </x:c>
      <x:c r="M4" s="7" t="str">
        <x:v>필요 작업</x:v>
      </x:c>
    </x:row>
    <x:row r="5" ht="34.5" customHeight="1">
      <x:c r="A5" s="5" t="str">
        <x:v>오로라</x:v>
      </x:c>
      <x:c r="B5" s="5" t="str">
        <x:v>Ice</x:v>
      </x:c>
      <x:c r="C5" s="5" t="str">
        <x:v>Base</x:v>
      </x:c>
      <x:c r="D5" s="5" t="str">
        <x:v>EXISTING</x:v>
      </x:c>
      <x:c r="E5" s="5" t="str">
        <x:v>NEEDS REMAKE</x:v>
      </x:c>
      <x:c r="F5" s="5" t="str">
        <x:v>NOT STARTED</x:v>
      </x:c>
      <x:c r="G5" s="5" t="str">
        <x:v>NOT STARTED</x:v>
      </x:c>
      <x:c r="H5" s="5" t="str">
        <x:v>NOT STARTED</x:v>
      </x:c>
      <x:c r="I5" s="5" t="str">
        <x:v>NOT STARTED</x:v>
      </x:c>
      <x:c r="J5" s="5" t="str">
        <x:v>NOT STARTED</x:v>
      </x:c>
      <x:c r="K5" s="5" t="str">
        <x:v>NOT STARTED</x:v>
      </x:c>
      <x:c r="L5" s="5" t="str">
        <x:v>미연결</x:v>
      </x:c>
      <x:c r="M5" s="5" t="str">
        <x:v>외형 정리 → Idle 검증 → 나머지 5상태 → 데이터 연결</x:v>
      </x:c>
    </x:row>
    <x:row r="6" ht="34.5" customHeight="1">
      <x:c r="A6" s="5" t="str">
        <x:v>오로라</x:v>
      </x:c>
      <x:c r="B6" s="5" t="str">
        <x:v>Ice</x:v>
      </x:c>
      <x:c r="C6" s="5" t="str">
        <x:v>Middle</x:v>
      </x:c>
      <x:c r="D6" s="5" t="str">
        <x:v>EXISTING</x:v>
      </x:c>
      <x:c r="E6" s="5" t="str">
        <x:v>NEEDS REMAKE</x:v>
      </x:c>
      <x:c r="F6" s="5" t="str">
        <x:v>NOT STARTED</x:v>
      </x:c>
      <x:c r="G6" s="5" t="str">
        <x:v>NOT STARTED</x:v>
      </x:c>
      <x:c r="H6" s="5" t="str">
        <x:v>NOT STARTED</x:v>
      </x:c>
      <x:c r="I6" s="5" t="str">
        <x:v>NOT STARTED</x:v>
      </x:c>
      <x:c r="J6" s="5" t="str">
        <x:v>NOT STARTED</x:v>
      </x:c>
      <x:c r="K6" s="5" t="str">
        <x:v>NOT STARTED</x:v>
      </x:c>
      <x:c r="L6" s="5" t="str">
        <x:v>미연결</x:v>
      </x:c>
      <x:c r="M6" s="5" t="str">
        <x:v>외형 정리 → Idle 검증 → 나머지 5상태 → 데이터 연결</x:v>
      </x:c>
    </x:row>
    <x:row r="7" ht="34.5" customHeight="1">
      <x:c r="A7" s="5" t="str">
        <x:v>오로라</x:v>
      </x:c>
      <x:c r="B7" s="5" t="str">
        <x:v>Ice</x:v>
      </x:c>
      <x:c r="C7" s="5" t="str">
        <x:v>Final</x:v>
      </x:c>
      <x:c r="D7" s="5" t="str">
        <x:v>EXISTING</x:v>
      </x:c>
      <x:c r="E7" s="5" t="str">
        <x:v>NEEDS REMAKE</x:v>
      </x:c>
      <x:c r="F7" s="5" t="str">
        <x:v>NOT STARTED</x:v>
      </x:c>
      <x:c r="G7" s="5" t="str">
        <x:v>NOT STARTED</x:v>
      </x:c>
      <x:c r="H7" s="5" t="str">
        <x:v>NOT STARTED</x:v>
      </x:c>
      <x:c r="I7" s="5" t="str">
        <x:v>NOT STARTED</x:v>
      </x:c>
      <x:c r="J7" s="5" t="str">
        <x:v>NOT STARTED</x:v>
      </x:c>
      <x:c r="K7" s="5" t="str">
        <x:v>NOT STARTED</x:v>
      </x:c>
      <x:c r="L7" s="5" t="str">
        <x:v>미연결</x:v>
      </x:c>
      <x:c r="M7" s="5" t="str">
        <x:v>외형 정리 → Idle 검증 → 나머지 5상태 → 데이터 연결</x:v>
      </x:c>
    </x:row>
    <x:row r="8" ht="34.5" customHeight="1">
      <x:c r="A8" s="5" t="str">
        <x:v>루나</x:v>
      </x:c>
      <x:c r="B8" s="5" t="str">
        <x:v>Ice</x:v>
      </x:c>
      <x:c r="C8" s="5" t="str">
        <x:v>Base</x:v>
      </x:c>
      <x:c r="D8" s="5" t="str">
        <x:v>EXISTING</x:v>
      </x:c>
      <x:c r="E8" s="5" t="str">
        <x:v>NEEDS REMAKE</x:v>
      </x:c>
      <x:c r="F8" s="5" t="str">
        <x:v>NOT STARTED</x:v>
      </x:c>
      <x:c r="G8" s="5" t="str">
        <x:v>NOT STARTED</x:v>
      </x:c>
      <x:c r="H8" s="5" t="str">
        <x:v>NOT STARTED</x:v>
      </x:c>
      <x:c r="I8" s="5" t="str">
        <x:v>NOT STARTED</x:v>
      </x:c>
      <x:c r="J8" s="5" t="str">
        <x:v>NOT STARTED</x:v>
      </x:c>
      <x:c r="K8" s="5" t="str">
        <x:v>NOT STARTED</x:v>
      </x:c>
      <x:c r="L8" s="5" t="str">
        <x:v>미연결</x:v>
      </x:c>
      <x:c r="M8" s="5" t="str">
        <x:v>외형 정리 → Idle 검증 → 나머지 5상태 → 데이터 연결</x:v>
      </x:c>
    </x:row>
    <x:row r="9" ht="34.5" customHeight="1">
      <x:c r="A9" s="5" t="str">
        <x:v>루나</x:v>
      </x:c>
      <x:c r="B9" s="5" t="str">
        <x:v>Ice</x:v>
      </x:c>
      <x:c r="C9" s="5" t="str">
        <x:v>Middle</x:v>
      </x:c>
      <x:c r="D9" s="5" t="str">
        <x:v>EXISTING</x:v>
      </x:c>
      <x:c r="E9" s="5" t="str">
        <x:v>NEEDS REMAKE</x:v>
      </x:c>
      <x:c r="F9" s="5" t="str">
        <x:v>NOT STARTED</x:v>
      </x:c>
      <x:c r="G9" s="5" t="str">
        <x:v>NOT STARTED</x:v>
      </x:c>
      <x:c r="H9" s="5" t="str">
        <x:v>NOT STARTED</x:v>
      </x:c>
      <x:c r="I9" s="5" t="str">
        <x:v>NOT STARTED</x:v>
      </x:c>
      <x:c r="J9" s="5" t="str">
        <x:v>NOT STARTED</x:v>
      </x:c>
      <x:c r="K9" s="5" t="str">
        <x:v>NOT STARTED</x:v>
      </x:c>
      <x:c r="L9" s="5" t="str">
        <x:v>미연결</x:v>
      </x:c>
      <x:c r="M9" s="5" t="str">
        <x:v>외형 정리 → Idle 검증 → 나머지 5상태 → 데이터 연결</x:v>
      </x:c>
    </x:row>
    <x:row r="10" ht="34.5" customHeight="1">
      <x:c r="A10" s="5" t="str">
        <x:v>루나</x:v>
      </x:c>
      <x:c r="B10" s="5" t="str">
        <x:v>Ice</x:v>
      </x:c>
      <x:c r="C10" s="5" t="str">
        <x:v>Final</x:v>
      </x:c>
      <x:c r="D10" s="5" t="str">
        <x:v>EXISTING</x:v>
      </x:c>
      <x:c r="E10" s="5" t="str">
        <x:v>NEEDS REMAKE</x:v>
      </x:c>
      <x:c r="F10" s="5" t="str">
        <x:v>NOT STARTED</x:v>
      </x:c>
      <x:c r="G10" s="5" t="str">
        <x:v>NOT STARTED</x:v>
      </x:c>
      <x:c r="H10" s="5" t="str">
        <x:v>NOT STARTED</x:v>
      </x:c>
      <x:c r="I10" s="5" t="str">
        <x:v>NOT STARTED</x:v>
      </x:c>
      <x:c r="J10" s="5" t="str">
        <x:v>NOT STARTED</x:v>
      </x:c>
      <x:c r="K10" s="5" t="str">
        <x:v>NOT STARTED</x:v>
      </x:c>
      <x:c r="L10" s="5" t="str">
        <x:v>미연결</x:v>
      </x:c>
      <x:c r="M10" s="5" t="str">
        <x:v>외형 정리 → Idle 검증 → 나머지 5상태 → 데이터 연결</x:v>
      </x:c>
    </x:row>
    <x:row r="11" ht="34.5" customHeight="1">
      <x:c r="A11" s="5" t="str">
        <x:v>엠버</x:v>
      </x:c>
      <x:c r="B11" s="5" t="str">
        <x:v>Fire</x:v>
      </x:c>
      <x:c r="C11" s="5" t="str">
        <x:v>Base</x:v>
      </x:c>
      <x:c r="D11" s="5" t="str">
        <x:v>EXISTING</x:v>
      </x:c>
      <x:c r="E11" s="5" t="str">
        <x:v>NEEDS REMAKE</x:v>
      </x:c>
      <x:c r="F11" s="5" t="str">
        <x:v>NOT STARTED</x:v>
      </x:c>
      <x:c r="G11" s="5" t="str">
        <x:v>NOT STARTED</x:v>
      </x:c>
      <x:c r="H11" s="5" t="str">
        <x:v>NOT STARTED</x:v>
      </x:c>
      <x:c r="I11" s="5" t="str">
        <x:v>NOT STARTED</x:v>
      </x:c>
      <x:c r="J11" s="5" t="str">
        <x:v>NOT STARTED</x:v>
      </x:c>
      <x:c r="K11" s="5" t="str">
        <x:v>NOT STARTED</x:v>
      </x:c>
      <x:c r="L11" s="5" t="str">
        <x:v>미연결</x:v>
      </x:c>
      <x:c r="M11" s="5" t="str">
        <x:v>외형 정리 → Idle 검증 → 나머지 5상태 → 데이터 연결</x:v>
      </x:c>
    </x:row>
    <x:row r="12" ht="34.5" customHeight="1">
      <x:c r="A12" s="5" t="str">
        <x:v>엠버</x:v>
      </x:c>
      <x:c r="B12" s="5" t="str">
        <x:v>Fire</x:v>
      </x:c>
      <x:c r="C12" s="5" t="str">
        <x:v>Middle</x:v>
      </x:c>
      <x:c r="D12" s="5" t="str">
        <x:v>EXISTING</x:v>
      </x:c>
      <x:c r="E12" s="5" t="str">
        <x:v>NEEDS REMAKE</x:v>
      </x:c>
      <x:c r="F12" s="5" t="str">
        <x:v>NOT STARTED</x:v>
      </x:c>
      <x:c r="G12" s="5" t="str">
        <x:v>NOT STARTED</x:v>
      </x:c>
      <x:c r="H12" s="5" t="str">
        <x:v>NOT STARTED</x:v>
      </x:c>
      <x:c r="I12" s="5" t="str">
        <x:v>NOT STARTED</x:v>
      </x:c>
      <x:c r="J12" s="5" t="str">
        <x:v>NOT STARTED</x:v>
      </x:c>
      <x:c r="K12" s="5" t="str">
        <x:v>NOT STARTED</x:v>
      </x:c>
      <x:c r="L12" s="5" t="str">
        <x:v>미연결</x:v>
      </x:c>
      <x:c r="M12" s="5" t="str">
        <x:v>외형 정리 → Idle 검증 → 나머지 5상태 → 데이터 연결</x:v>
      </x:c>
    </x:row>
    <x:row r="13" ht="34.5" customHeight="1">
      <x:c r="A13" s="5" t="str">
        <x:v>엠버</x:v>
      </x:c>
      <x:c r="B13" s="5" t="str">
        <x:v>Fire</x:v>
      </x:c>
      <x:c r="C13" s="5" t="str">
        <x:v>Final</x:v>
      </x:c>
      <x:c r="D13" s="5" t="str">
        <x:v>EXISTING</x:v>
      </x:c>
      <x:c r="E13" s="5" t="str">
        <x:v>NEEDS REMAKE</x:v>
      </x:c>
      <x:c r="F13" s="5" t="str">
        <x:v>NOT STARTED</x:v>
      </x:c>
      <x:c r="G13" s="5" t="str">
        <x:v>NOT STARTED</x:v>
      </x:c>
      <x:c r="H13" s="5" t="str">
        <x:v>NOT STARTED</x:v>
      </x:c>
      <x:c r="I13" s="5" t="str">
        <x:v>NOT STARTED</x:v>
      </x:c>
      <x:c r="J13" s="5" t="str">
        <x:v>NOT STARTED</x:v>
      </x:c>
      <x:c r="K13" s="5" t="str">
        <x:v>NOT STARTED</x:v>
      </x:c>
      <x:c r="L13" s="5" t="str">
        <x:v>미연결</x:v>
      </x:c>
      <x:c r="M13" s="5" t="str">
        <x:v>외형 정리 → Idle 검증 → 나머지 5상태 → 데이터 연결</x:v>
      </x:c>
    </x:row>
    <x:row r="14" ht="34.5" customHeight="1">
      <x:c r="A14" s="5" t="str">
        <x:v>솔</x:v>
      </x:c>
      <x:c r="B14" s="5" t="str">
        <x:v>Fire</x:v>
      </x:c>
      <x:c r="C14" s="5" t="str">
        <x:v>Base</x:v>
      </x:c>
      <x:c r="D14" s="5" t="str">
        <x:v>EXISTING</x:v>
      </x:c>
      <x:c r="E14" s="5" t="str">
        <x:v>NEEDS REMAKE</x:v>
      </x:c>
      <x:c r="F14" s="5" t="str">
        <x:v>NOT STARTED</x:v>
      </x:c>
      <x:c r="G14" s="5" t="str">
        <x:v>NOT STARTED</x:v>
      </x:c>
      <x:c r="H14" s="5" t="str">
        <x:v>NOT STARTED</x:v>
      </x:c>
      <x:c r="I14" s="5" t="str">
        <x:v>NOT STARTED</x:v>
      </x:c>
      <x:c r="J14" s="5" t="str">
        <x:v>NOT STARTED</x:v>
      </x:c>
      <x:c r="K14" s="5" t="str">
        <x:v>NOT STARTED</x:v>
      </x:c>
      <x:c r="L14" s="5" t="str">
        <x:v>미연결</x:v>
      </x:c>
      <x:c r="M14" s="5" t="str">
        <x:v>외형 정리 → Idle 검증 → 나머지 5상태 → 데이터 연결</x:v>
      </x:c>
    </x:row>
    <x:row r="15" ht="34.5" customHeight="1">
      <x:c r="A15" s="5" t="str">
        <x:v>솔</x:v>
      </x:c>
      <x:c r="B15" s="5" t="str">
        <x:v>Fire</x:v>
      </x:c>
      <x:c r="C15" s="5" t="str">
        <x:v>Middle</x:v>
      </x:c>
      <x:c r="D15" s="5" t="str">
        <x:v>EXISTING</x:v>
      </x:c>
      <x:c r="E15" s="5" t="str">
        <x:v>NEEDS REMAKE</x:v>
      </x:c>
      <x:c r="F15" s="5" t="str">
        <x:v>NOT STARTED</x:v>
      </x:c>
      <x:c r="G15" s="5" t="str">
        <x:v>NOT STARTED</x:v>
      </x:c>
      <x:c r="H15" s="5" t="str">
        <x:v>NOT STARTED</x:v>
      </x:c>
      <x:c r="I15" s="5" t="str">
        <x:v>NOT STARTED</x:v>
      </x:c>
      <x:c r="J15" s="5" t="str">
        <x:v>NOT STARTED</x:v>
      </x:c>
      <x:c r="K15" s="5" t="str">
        <x:v>NOT STARTED</x:v>
      </x:c>
      <x:c r="L15" s="5" t="str">
        <x:v>미연결</x:v>
      </x:c>
      <x:c r="M15" s="5" t="str">
        <x:v>외형 정리 → Idle 검증 → 나머지 5상태 → 데이터 연결</x:v>
      </x:c>
    </x:row>
    <x:row r="16" ht="34.5" customHeight="1">
      <x:c r="A16" s="5" t="str">
        <x:v>솔</x:v>
      </x:c>
      <x:c r="B16" s="5" t="str">
        <x:v>Fire</x:v>
      </x:c>
      <x:c r="C16" s="5" t="str">
        <x:v>Final</x:v>
      </x:c>
      <x:c r="D16" s="5" t="str">
        <x:v>EXISTING</x:v>
      </x:c>
      <x:c r="E16" s="5" t="str">
        <x:v>NEEDS REMAKE</x:v>
      </x:c>
      <x:c r="F16" s="5" t="str">
        <x:v>NOT STARTED</x:v>
      </x:c>
      <x:c r="G16" s="5" t="str">
        <x:v>NOT STARTED</x:v>
      </x:c>
      <x:c r="H16" s="5" t="str">
        <x:v>NOT STARTED</x:v>
      </x:c>
      <x:c r="I16" s="5" t="str">
        <x:v>NOT STARTED</x:v>
      </x:c>
      <x:c r="J16" s="5" t="str">
        <x:v>NOT STARTED</x:v>
      </x:c>
      <x:c r="K16" s="5" t="str">
        <x:v>NOT STARTED</x:v>
      </x:c>
      <x:c r="L16" s="5" t="str">
        <x:v>미연결</x:v>
      </x:c>
      <x:c r="M16" s="5" t="str">
        <x:v>외형 정리 → Idle 검증 → 나머지 5상태 → 데이터 연결</x:v>
      </x:c>
    </x:row>
    <x:row r="17" ht="34.5" customHeight="1">
      <x:c r="A17" s="5" t="str">
        <x:v>블랜디</x:v>
      </x:c>
      <x:c r="B17" s="5" t="str">
        <x:v>Earth</x:v>
      </x:c>
      <x:c r="C17" s="5" t="str">
        <x:v>Base</x:v>
      </x:c>
      <x:c r="D17" s="5" t="str">
        <x:v>EXISTING</x:v>
      </x:c>
      <x:c r="E17" s="5" t="str">
        <x:v>NEEDS REMAKE</x:v>
      </x:c>
      <x:c r="F17" s="5" t="str">
        <x:v>NOT STARTED</x:v>
      </x:c>
      <x:c r="G17" s="5" t="str">
        <x:v>NOT STARTED</x:v>
      </x:c>
      <x:c r="H17" s="5" t="str">
        <x:v>NOT STARTED</x:v>
      </x:c>
      <x:c r="I17" s="5" t="str">
        <x:v>NOT STARTED</x:v>
      </x:c>
      <x:c r="J17" s="5" t="str">
        <x:v>NOT STARTED</x:v>
      </x:c>
      <x:c r="K17" s="5" t="str">
        <x:v>NOT STARTED</x:v>
      </x:c>
      <x:c r="L17" s="5" t="str">
        <x:v>미연결</x:v>
      </x:c>
      <x:c r="M17" s="5" t="str">
        <x:v>외형 정리 → Idle 검증 → 나머지 5상태 → 데이터 연결</x:v>
      </x:c>
    </x:row>
    <x:row r="18" ht="34.5" customHeight="1">
      <x:c r="A18" s="5" t="str">
        <x:v>블랜디</x:v>
      </x:c>
      <x:c r="B18" s="5" t="str">
        <x:v>Earth</x:v>
      </x:c>
      <x:c r="C18" s="5" t="str">
        <x:v>Middle</x:v>
      </x:c>
      <x:c r="D18" s="5" t="str">
        <x:v>EXISTING</x:v>
      </x:c>
      <x:c r="E18" s="5" t="str">
        <x:v>NEEDS REMAKE</x:v>
      </x:c>
      <x:c r="F18" s="5" t="str">
        <x:v>NOT STARTED</x:v>
      </x:c>
      <x:c r="G18" s="5" t="str">
        <x:v>NOT STARTED</x:v>
      </x:c>
      <x:c r="H18" s="5" t="str">
        <x:v>NOT STARTED</x:v>
      </x:c>
      <x:c r="I18" s="5" t="str">
        <x:v>NOT STARTED</x:v>
      </x:c>
      <x:c r="J18" s="5" t="str">
        <x:v>NOT STARTED</x:v>
      </x:c>
      <x:c r="K18" s="5" t="str">
        <x:v>NOT STARTED</x:v>
      </x:c>
      <x:c r="L18" s="5" t="str">
        <x:v>미연결</x:v>
      </x:c>
      <x:c r="M18" s="5" t="str">
        <x:v>외형 정리 → Idle 검증 → 나머지 5상태 → 데이터 연결</x:v>
      </x:c>
    </x:row>
    <x:row r="19" ht="34.5" customHeight="1">
      <x:c r="A19" s="5" t="str">
        <x:v>블랜디</x:v>
      </x:c>
      <x:c r="B19" s="5" t="str">
        <x:v>Earth</x:v>
      </x:c>
      <x:c r="C19" s="5" t="str">
        <x:v>Final</x:v>
      </x:c>
      <x:c r="D19" s="5" t="str">
        <x:v>EXISTING</x:v>
      </x:c>
      <x:c r="E19" s="5" t="str">
        <x:v>NEEDS REMAKE</x:v>
      </x:c>
      <x:c r="F19" s="5" t="str">
        <x:v>NOT STARTED</x:v>
      </x:c>
      <x:c r="G19" s="5" t="str">
        <x:v>NOT STARTED</x:v>
      </x:c>
      <x:c r="H19" s="5" t="str">
        <x:v>NOT STARTED</x:v>
      </x:c>
      <x:c r="I19" s="5" t="str">
        <x:v>NOT STARTED</x:v>
      </x:c>
      <x:c r="J19" s="5" t="str">
        <x:v>NOT STARTED</x:v>
      </x:c>
      <x:c r="K19" s="5" t="str">
        <x:v>NOT STARTED</x:v>
      </x:c>
      <x:c r="L19" s="5" t="str">
        <x:v>미연결</x:v>
      </x:c>
      <x:c r="M19" s="5" t="str">
        <x:v>외형 정리 → Idle 검증 → 나머지 5상태 → 데이터 연결</x:v>
      </x:c>
    </x:row>
    <x:row r="20" ht="34.5" customHeight="1">
      <x:c r="A20" s="5" t="str">
        <x:v>티탄</x:v>
      </x:c>
      <x:c r="B20" s="5" t="str">
        <x:v>Earth</x:v>
      </x:c>
      <x:c r="C20" s="5" t="str">
        <x:v>Base</x:v>
      </x:c>
      <x:c r="D20" s="5" t="str">
        <x:v>EXISTING</x:v>
      </x:c>
      <x:c r="E20" s="5" t="str">
        <x:v>NEEDS REMAKE</x:v>
      </x:c>
      <x:c r="F20" s="5" t="str">
        <x:v>NOT STARTED</x:v>
      </x:c>
      <x:c r="G20" s="5" t="str">
        <x:v>NOT STARTED</x:v>
      </x:c>
      <x:c r="H20" s="5" t="str">
        <x:v>NOT STARTED</x:v>
      </x:c>
      <x:c r="I20" s="5" t="str">
        <x:v>NOT STARTED</x:v>
      </x:c>
      <x:c r="J20" s="5" t="str">
        <x:v>NOT STARTED</x:v>
      </x:c>
      <x:c r="K20" s="5" t="str">
        <x:v>NOT STARTED</x:v>
      </x:c>
      <x:c r="L20" s="5" t="str">
        <x:v>미연결</x:v>
      </x:c>
      <x:c r="M20" s="5" t="str">
        <x:v>외형 정리 → Idle 검증 → 나머지 5상태 → 데이터 연결</x:v>
      </x:c>
    </x:row>
    <x:row r="21" ht="34.5" customHeight="1">
      <x:c r="A21" s="5" t="str">
        <x:v>티탄</x:v>
      </x:c>
      <x:c r="B21" s="5" t="str">
        <x:v>Earth</x:v>
      </x:c>
      <x:c r="C21" s="5" t="str">
        <x:v>Middle</x:v>
      </x:c>
      <x:c r="D21" s="5" t="str">
        <x:v>EXISTING</x:v>
      </x:c>
      <x:c r="E21" s="5" t="str">
        <x:v>NEEDS REMAKE</x:v>
      </x:c>
      <x:c r="F21" s="5" t="str">
        <x:v>NOT STARTED</x:v>
      </x:c>
      <x:c r="G21" s="5" t="str">
        <x:v>NOT STARTED</x:v>
      </x:c>
      <x:c r="H21" s="5" t="str">
        <x:v>NOT STARTED</x:v>
      </x:c>
      <x:c r="I21" s="5" t="str">
        <x:v>NOT STARTED</x:v>
      </x:c>
      <x:c r="J21" s="5" t="str">
        <x:v>NOT STARTED</x:v>
      </x:c>
      <x:c r="K21" s="5" t="str">
        <x:v>NOT STARTED</x:v>
      </x:c>
      <x:c r="L21" s="5" t="str">
        <x:v>미연결</x:v>
      </x:c>
      <x:c r="M21" s="5" t="str">
        <x:v>외형 정리 → Idle 검증 → 나머지 5상태 → 데이터 연결</x:v>
      </x:c>
    </x:row>
    <x:row r="22" ht="34.5" customHeight="1">
      <x:c r="A22" s="5" t="str">
        <x:v>티탄</x:v>
      </x:c>
      <x:c r="B22" s="5" t="str">
        <x:v>Earth</x:v>
      </x:c>
      <x:c r="C22" s="5" t="str">
        <x:v>Final</x:v>
      </x:c>
      <x:c r="D22" s="5" t="str">
        <x:v>EXISTING</x:v>
      </x:c>
      <x:c r="E22" s="5" t="str">
        <x:v>NEEDS REMAKE</x:v>
      </x:c>
      <x:c r="F22" s="5" t="str">
        <x:v>NOT STARTED</x:v>
      </x:c>
      <x:c r="G22" s="5" t="str">
        <x:v>NOT STARTED</x:v>
      </x:c>
      <x:c r="H22" s="5" t="str">
        <x:v>NOT STARTED</x:v>
      </x:c>
      <x:c r="I22" s="5" t="str">
        <x:v>NOT STARTED</x:v>
      </x:c>
      <x:c r="J22" s="5" t="str">
        <x:v>NOT STARTED</x:v>
      </x:c>
      <x:c r="K22" s="5" t="str">
        <x:v>NOT STARTED</x:v>
      </x:c>
      <x:c r="L22" s="5" t="str">
        <x:v>미연결</x:v>
      </x:c>
      <x:c r="M22" s="5" t="str">
        <x:v>외형 정리 → Idle 검증 → 나머지 5상태 → 데이터 연결</x:v>
      </x:c>
    </x:row>
    <x:row r="23" ht="34.5" customHeight="1">
      <x:c r="A23" s="5" t="str">
        <x:v>스톰</x:v>
      </x:c>
      <x:c r="B23" s="5" t="str">
        <x:v>Lightning</x:v>
      </x:c>
      <x:c r="C23" s="5" t="str">
        <x:v>Base</x:v>
      </x:c>
      <x:c r="D23" s="5" t="str">
        <x:v>EXISTING</x:v>
      </x:c>
      <x:c r="E23" s="5" t="str">
        <x:v>NEEDS REMAKE</x:v>
      </x:c>
      <x:c r="F23" s="5" t="str">
        <x:v>NOT STARTED</x:v>
      </x:c>
      <x:c r="G23" s="5" t="str">
        <x:v>NOT STARTED</x:v>
      </x:c>
      <x:c r="H23" s="5" t="str">
        <x:v>NOT STARTED</x:v>
      </x:c>
      <x:c r="I23" s="5" t="str">
        <x:v>NOT STARTED</x:v>
      </x:c>
      <x:c r="J23" s="5" t="str">
        <x:v>NOT STARTED</x:v>
      </x:c>
      <x:c r="K23" s="5" t="str">
        <x:v>NOT STARTED</x:v>
      </x:c>
      <x:c r="L23" s="5" t="str">
        <x:v>미연결</x:v>
      </x:c>
      <x:c r="M23" s="5" t="str">
        <x:v>외형 정리 → Idle 검증 → 나머지 5상태 → 데이터 연결</x:v>
      </x:c>
    </x:row>
    <x:row r="24" ht="34.5" customHeight="1">
      <x:c r="A24" s="5" t="str">
        <x:v>스톰</x:v>
      </x:c>
      <x:c r="B24" s="5" t="str">
        <x:v>Lightning</x:v>
      </x:c>
      <x:c r="C24" s="5" t="str">
        <x:v>Middle</x:v>
      </x:c>
      <x:c r="D24" s="5" t="str">
        <x:v>EXISTING</x:v>
      </x:c>
      <x:c r="E24" s="5" t="str">
        <x:v>NEEDS REMAKE</x:v>
      </x:c>
      <x:c r="F24" s="5" t="str">
        <x:v>NOT STARTED</x:v>
      </x:c>
      <x:c r="G24" s="5" t="str">
        <x:v>NOT STARTED</x:v>
      </x:c>
      <x:c r="H24" s="5" t="str">
        <x:v>NOT STARTED</x:v>
      </x:c>
      <x:c r="I24" s="5" t="str">
        <x:v>NOT STARTED</x:v>
      </x:c>
      <x:c r="J24" s="5" t="str">
        <x:v>NOT STARTED</x:v>
      </x:c>
      <x:c r="K24" s="5" t="str">
        <x:v>NOT STARTED</x:v>
      </x:c>
      <x:c r="L24" s="5" t="str">
        <x:v>미연결</x:v>
      </x:c>
      <x:c r="M24" s="5" t="str">
        <x:v>외형 정리 → Idle 검증 → 나머지 5상태 → 데이터 연결</x:v>
      </x:c>
    </x:row>
    <x:row r="25" ht="34.5" customHeight="1">
      <x:c r="A25" s="5" t="str">
        <x:v>스톰</x:v>
      </x:c>
      <x:c r="B25" s="5" t="str">
        <x:v>Lightning</x:v>
      </x:c>
      <x:c r="C25" s="5" t="str">
        <x:v>Final</x:v>
      </x:c>
      <x:c r="D25" s="5" t="str">
        <x:v>EXISTING</x:v>
      </x:c>
      <x:c r="E25" s="5" t="str">
        <x:v>NEEDS REMAKE</x:v>
      </x:c>
      <x:c r="F25" s="5" t="str">
        <x:v>NOT STARTED</x:v>
      </x:c>
      <x:c r="G25" s="5" t="str">
        <x:v>NOT STARTED</x:v>
      </x:c>
      <x:c r="H25" s="5" t="str">
        <x:v>NOT STARTED</x:v>
      </x:c>
      <x:c r="I25" s="5" t="str">
        <x:v>NOT STARTED</x:v>
      </x:c>
      <x:c r="J25" s="5" t="str">
        <x:v>NOT STARTED</x:v>
      </x:c>
      <x:c r="K25" s="5" t="str">
        <x:v>NOT STARTED</x:v>
      </x:c>
      <x:c r="L25" s="5" t="str">
        <x:v>미연결</x:v>
      </x:c>
      <x:c r="M25" s="5" t="str">
        <x:v>외형 정리 → Idle 검증 → 나머지 5상태 → 데이터 연결</x:v>
      </x:c>
    </x:row>
    <x:row r="26" ht="34.5" customHeight="1">
      <x:c r="A26" s="5" t="str">
        <x:v>볼트</x:v>
      </x:c>
      <x:c r="B26" s="5" t="str">
        <x:v>Lightning</x:v>
      </x:c>
      <x:c r="C26" s="5" t="str">
        <x:v>Base</x:v>
      </x:c>
      <x:c r="D26" s="5" t="str">
        <x:v>EXISTING</x:v>
      </x:c>
      <x:c r="E26" s="5" t="str">
        <x:v>NEEDS REMAKE</x:v>
      </x:c>
      <x:c r="F26" s="5" t="str">
        <x:v>NOT STARTED</x:v>
      </x:c>
      <x:c r="G26" s="5" t="str">
        <x:v>NOT STARTED</x:v>
      </x:c>
      <x:c r="H26" s="5" t="str">
        <x:v>NOT STARTED</x:v>
      </x:c>
      <x:c r="I26" s="5" t="str">
        <x:v>NOT STARTED</x:v>
      </x:c>
      <x:c r="J26" s="5" t="str">
        <x:v>NOT STARTED</x:v>
      </x:c>
      <x:c r="K26" s="5" t="str">
        <x:v>NOT STARTED</x:v>
      </x:c>
      <x:c r="L26" s="5" t="str">
        <x:v>미연결</x:v>
      </x:c>
      <x:c r="M26" s="5" t="str">
        <x:v>외형 정리 → Idle 검증 → 나머지 5상태 → 데이터 연결</x:v>
      </x:c>
    </x:row>
    <x:row r="27" ht="34.5" customHeight="1">
      <x:c r="A27" s="5" t="str">
        <x:v>볼트</x:v>
      </x:c>
      <x:c r="B27" s="5" t="str">
        <x:v>Lightning</x:v>
      </x:c>
      <x:c r="C27" s="5" t="str">
        <x:v>Middle</x:v>
      </x:c>
      <x:c r="D27" s="5" t="str">
        <x:v>EXISTING</x:v>
      </x:c>
      <x:c r="E27" s="5" t="str">
        <x:v>NEEDS REMAKE</x:v>
      </x:c>
      <x:c r="F27" s="5" t="str">
        <x:v>NOT STARTED</x:v>
      </x:c>
      <x:c r="G27" s="5" t="str">
        <x:v>NOT STARTED</x:v>
      </x:c>
      <x:c r="H27" s="5" t="str">
        <x:v>NOT STARTED</x:v>
      </x:c>
      <x:c r="I27" s="5" t="str">
        <x:v>NOT STARTED</x:v>
      </x:c>
      <x:c r="J27" s="5" t="str">
        <x:v>NOT STARTED</x:v>
      </x:c>
      <x:c r="K27" s="5" t="str">
        <x:v>NOT STARTED</x:v>
      </x:c>
      <x:c r="L27" s="5" t="str">
        <x:v>미연결</x:v>
      </x:c>
      <x:c r="M27" s="5" t="str">
        <x:v>외형 정리 → Idle 검증 → 나머지 5상태 → 데이터 연결</x:v>
      </x:c>
    </x:row>
    <x:row r="28" ht="34.5" customHeight="1">
      <x:c r="A28" s="5" t="str">
        <x:v>볼트</x:v>
      </x:c>
      <x:c r="B28" s="5" t="str">
        <x:v>Lightning</x:v>
      </x:c>
      <x:c r="C28" s="5" t="str">
        <x:v>Final</x:v>
      </x:c>
      <x:c r="D28" s="5" t="str">
        <x:v>EXISTING</x:v>
      </x:c>
      <x:c r="E28" s="5" t="str">
        <x:v>NEEDS REMAKE</x:v>
      </x:c>
      <x:c r="F28" s="5" t="str">
        <x:v>NOT STARTED</x:v>
      </x:c>
      <x:c r="G28" s="5" t="str">
        <x:v>NOT STARTED</x:v>
      </x:c>
      <x:c r="H28" s="5" t="str">
        <x:v>NOT STARTED</x:v>
      </x:c>
      <x:c r="I28" s="5" t="str">
        <x:v>NOT STARTED</x:v>
      </x:c>
      <x:c r="J28" s="5" t="str">
        <x:v>NOT STARTED</x:v>
      </x:c>
      <x:c r="K28" s="5" t="str">
        <x:v>NOT STARTED</x:v>
      </x:c>
      <x:c r="L28" s="5" t="str">
        <x:v>미연결</x:v>
      </x:c>
      <x:c r="M28" s="5" t="str">
        <x:v>외형 정리 → Idle 검증 → 나머지 5상태 → 데이터 연결</x:v>
      </x:c>
    </x:row>
    <x:row r="29" ht="34.5" customHeight="1">
      <x:c r="A29" s="5" t="str">
        <x:v>크로노</x:v>
      </x:c>
      <x:c r="B29" s="5" t="str">
        <x:v>Light</x:v>
      </x:c>
      <x:c r="C29" s="5" t="str">
        <x:v>Base</x:v>
      </x:c>
      <x:c r="D29" s="5" t="str">
        <x:v>EXISTING</x:v>
      </x:c>
      <x:c r="E29" s="5" t="str">
        <x:v>NEEDS REMAKE</x:v>
      </x:c>
      <x:c r="F29" s="5" t="str">
        <x:v>NOT STARTED</x:v>
      </x:c>
      <x:c r="G29" s="5" t="str">
        <x:v>NOT STARTED</x:v>
      </x:c>
      <x:c r="H29" s="5" t="str">
        <x:v>NOT STARTED</x:v>
      </x:c>
      <x:c r="I29" s="5" t="str">
        <x:v>NOT STARTED</x:v>
      </x:c>
      <x:c r="J29" s="5" t="str">
        <x:v>NOT STARTED</x:v>
      </x:c>
      <x:c r="K29" s="5" t="str">
        <x:v>NOT STARTED</x:v>
      </x:c>
      <x:c r="L29" s="5" t="str">
        <x:v>미연결</x:v>
      </x:c>
      <x:c r="M29" s="5" t="str">
        <x:v>외형 정리 → Idle 검증 → 나머지 5상태 → 데이터 연결</x:v>
      </x:c>
    </x:row>
    <x:row r="30" ht="34.5" customHeight="1">
      <x:c r="A30" s="5" t="str">
        <x:v>크로노</x:v>
      </x:c>
      <x:c r="B30" s="5" t="str">
        <x:v>Light</x:v>
      </x:c>
      <x:c r="C30" s="5" t="str">
        <x:v>Middle</x:v>
      </x:c>
      <x:c r="D30" s="5" t="str">
        <x:v>EXISTING</x:v>
      </x:c>
      <x:c r="E30" s="5" t="str">
        <x:v>NEEDS REMAKE</x:v>
      </x:c>
      <x:c r="F30" s="5" t="str">
        <x:v>NOT STARTED</x:v>
      </x:c>
      <x:c r="G30" s="5" t="str">
        <x:v>NOT STARTED</x:v>
      </x:c>
      <x:c r="H30" s="5" t="str">
        <x:v>NOT STARTED</x:v>
      </x:c>
      <x:c r="I30" s="5" t="str">
        <x:v>NOT STARTED</x:v>
      </x:c>
      <x:c r="J30" s="5" t="str">
        <x:v>NOT STARTED</x:v>
      </x:c>
      <x:c r="K30" s="5" t="str">
        <x:v>NOT STARTED</x:v>
      </x:c>
      <x:c r="L30" s="5" t="str">
        <x:v>미연결</x:v>
      </x:c>
      <x:c r="M30" s="5" t="str">
        <x:v>외형 정리 → Idle 검증 → 나머지 5상태 → 데이터 연결</x:v>
      </x:c>
    </x:row>
    <x:row r="31" ht="34.5" customHeight="1">
      <x:c r="A31" s="5" t="str">
        <x:v>크로노</x:v>
      </x:c>
      <x:c r="B31" s="5" t="str">
        <x:v>Light</x:v>
      </x:c>
      <x:c r="C31" s="5" t="str">
        <x:v>Final</x:v>
      </x:c>
      <x:c r="D31" s="5" t="str">
        <x:v>EXISTING</x:v>
      </x:c>
      <x:c r="E31" s="5" t="str">
        <x:v>NEEDS REMAKE</x:v>
      </x:c>
      <x:c r="F31" s="5" t="str">
        <x:v>NOT STARTED</x:v>
      </x:c>
      <x:c r="G31" s="5" t="str">
        <x:v>NOT STARTED</x:v>
      </x:c>
      <x:c r="H31" s="5" t="str">
        <x:v>NOT STARTED</x:v>
      </x:c>
      <x:c r="I31" s="5" t="str">
        <x:v>NOT STARTED</x:v>
      </x:c>
      <x:c r="J31" s="5" t="str">
        <x:v>NOT STARTED</x:v>
      </x:c>
      <x:c r="K31" s="5" t="str">
        <x:v>NOT STARTED</x:v>
      </x:c>
      <x:c r="L31" s="5" t="str">
        <x:v>미연결</x:v>
      </x:c>
      <x:c r="M31" s="5" t="str">
        <x:v>외형 정리 → Idle 검증 → 나머지 5상태 → 데이터 연결</x:v>
      </x:c>
    </x:row>
    <x:row r="32" ht="34.5" customHeight="1">
      <x:c r="A32" s="5" t="str">
        <x:v>단테</x:v>
      </x:c>
      <x:c r="B32" s="5" t="str">
        <x:v>Light</x:v>
      </x:c>
      <x:c r="C32" s="5" t="str">
        <x:v>Base</x:v>
      </x:c>
      <x:c r="D32" s="5" t="str">
        <x:v>EXISTING</x:v>
      </x:c>
      <x:c r="E32" s="5" t="str">
        <x:v>NEEDS REMAKE</x:v>
      </x:c>
      <x:c r="F32" s="5" t="str">
        <x:v>NOT STARTED</x:v>
      </x:c>
      <x:c r="G32" s="5" t="str">
        <x:v>NOT STARTED</x:v>
      </x:c>
      <x:c r="H32" s="5" t="str">
        <x:v>NOT STARTED</x:v>
      </x:c>
      <x:c r="I32" s="5" t="str">
        <x:v>NOT STARTED</x:v>
      </x:c>
      <x:c r="J32" s="5" t="str">
        <x:v>NOT STARTED</x:v>
      </x:c>
      <x:c r="K32" s="5" t="str">
        <x:v>NOT STARTED</x:v>
      </x:c>
      <x:c r="L32" s="5" t="str">
        <x:v>미연결</x:v>
      </x:c>
      <x:c r="M32" s="5" t="str">
        <x:v>외형 정리 → Idle 검증 → 나머지 5상태 → 데이터 연결</x:v>
      </x:c>
    </x:row>
    <x:row r="33" ht="34.5" customHeight="1">
      <x:c r="A33" s="5" t="str">
        <x:v>단테</x:v>
      </x:c>
      <x:c r="B33" s="5" t="str">
        <x:v>Light</x:v>
      </x:c>
      <x:c r="C33" s="5" t="str">
        <x:v>Middle</x:v>
      </x:c>
      <x:c r="D33" s="5" t="str">
        <x:v>EXISTING</x:v>
      </x:c>
      <x:c r="E33" s="5" t="str">
        <x:v>NEEDS REMAKE</x:v>
      </x:c>
      <x:c r="F33" s="5" t="str">
        <x:v>NOT STARTED</x:v>
      </x:c>
      <x:c r="G33" s="5" t="str">
        <x:v>NOT STARTED</x:v>
      </x:c>
      <x:c r="H33" s="5" t="str">
        <x:v>NOT STARTED</x:v>
      </x:c>
      <x:c r="I33" s="5" t="str">
        <x:v>NOT STARTED</x:v>
      </x:c>
      <x:c r="J33" s="5" t="str">
        <x:v>NOT STARTED</x:v>
      </x:c>
      <x:c r="K33" s="5" t="str">
        <x:v>NOT STARTED</x:v>
      </x:c>
      <x:c r="L33" s="5" t="str">
        <x:v>미연결</x:v>
      </x:c>
      <x:c r="M33" s="5" t="str">
        <x:v>외형 정리 → Idle 검증 → 나머지 5상태 → 데이터 연결</x:v>
      </x:c>
    </x:row>
    <x:row r="34" ht="34.5" customHeight="1">
      <x:c r="A34" s="5" t="str">
        <x:v>단테</x:v>
      </x:c>
      <x:c r="B34" s="5" t="str">
        <x:v>Light</x:v>
      </x:c>
      <x:c r="C34" s="5" t="str">
        <x:v>Final</x:v>
      </x:c>
      <x:c r="D34" s="5" t="str">
        <x:v>EXISTING</x:v>
      </x:c>
      <x:c r="E34" s="5" t="str">
        <x:v>NEEDS REMAKE</x:v>
      </x:c>
      <x:c r="F34" s="5" t="str">
        <x:v>NOT STARTED</x:v>
      </x:c>
      <x:c r="G34" s="5" t="str">
        <x:v>NOT STARTED</x:v>
      </x:c>
      <x:c r="H34" s="5" t="str">
        <x:v>NOT STARTED</x:v>
      </x:c>
      <x:c r="I34" s="5" t="str">
        <x:v>NOT STARTED</x:v>
      </x:c>
      <x:c r="J34" s="5" t="str">
        <x:v>NOT STARTED</x:v>
      </x:c>
      <x:c r="K34" s="5" t="str">
        <x:v>NOT STARTED</x:v>
      </x:c>
      <x:c r="L34" s="5" t="str">
        <x:v>미연결</x:v>
      </x:c>
      <x:c r="M34" s="5" t="str">
        <x:v>외형 정리 → Idle 검증 → 나머지 5상태 → 데이터 연결</x:v>
      </x:c>
    </x:row>
    <x:row r="35" ht="34.5" customHeight="1">
      <x:c r="A35" s="5" t="str">
        <x:v>미르</x:v>
      </x:c>
      <x:c r="B35" s="5" t="str">
        <x:v>Wind</x:v>
      </x:c>
      <x:c r="C35" s="5" t="str">
        <x:v>Base</x:v>
      </x:c>
      <x:c r="D35" s="5" t="str">
        <x:v>EXISTING</x:v>
      </x:c>
      <x:c r="E35" s="5" t="str">
        <x:v>NEEDS REMAKE</x:v>
      </x:c>
      <x:c r="F35" s="5" t="str">
        <x:v>NOT STARTED</x:v>
      </x:c>
      <x:c r="G35" s="5" t="str">
        <x:v>NOT STARTED</x:v>
      </x:c>
      <x:c r="H35" s="5" t="str">
        <x:v>NOT STARTED</x:v>
      </x:c>
      <x:c r="I35" s="5" t="str">
        <x:v>NOT STARTED</x:v>
      </x:c>
      <x:c r="J35" s="5" t="str">
        <x:v>NOT STARTED</x:v>
      </x:c>
      <x:c r="K35" s="5" t="str">
        <x:v>NOT STARTED</x:v>
      </x:c>
      <x:c r="L35" s="5" t="str">
        <x:v>미연결</x:v>
      </x:c>
      <x:c r="M35" s="5" t="str">
        <x:v>외형 정리 → Idle 검증 → 나머지 5상태 → 데이터 연결</x:v>
      </x:c>
    </x:row>
    <x:row r="36" ht="34.5" customHeight="1">
      <x:c r="A36" s="5" t="str">
        <x:v>미르</x:v>
      </x:c>
      <x:c r="B36" s="5" t="str">
        <x:v>Wind</x:v>
      </x:c>
      <x:c r="C36" s="5" t="str">
        <x:v>Middle</x:v>
      </x:c>
      <x:c r="D36" s="5" t="str">
        <x:v>EXISTING</x:v>
      </x:c>
      <x:c r="E36" s="5" t="str">
        <x:v>NEEDS REMAKE</x:v>
      </x:c>
      <x:c r="F36" s="5" t="str">
        <x:v>NOT STARTED</x:v>
      </x:c>
      <x:c r="G36" s="5" t="str">
        <x:v>NOT STARTED</x:v>
      </x:c>
      <x:c r="H36" s="5" t="str">
        <x:v>NOT STARTED</x:v>
      </x:c>
      <x:c r="I36" s="5" t="str">
        <x:v>NOT STARTED</x:v>
      </x:c>
      <x:c r="J36" s="5" t="str">
        <x:v>NOT STARTED</x:v>
      </x:c>
      <x:c r="K36" s="5" t="str">
        <x:v>NOT STARTED</x:v>
      </x:c>
      <x:c r="L36" s="5" t="str">
        <x:v>미연결</x:v>
      </x:c>
      <x:c r="M36" s="5" t="str">
        <x:v>외형 정리 → Idle 검증 → 나머지 5상태 → 데이터 연결</x:v>
      </x:c>
    </x:row>
    <x:row r="37" ht="34.5" customHeight="1">
      <x:c r="A37" s="5" t="str">
        <x:v>미르</x:v>
      </x:c>
      <x:c r="B37" s="5" t="str">
        <x:v>Wind</x:v>
      </x:c>
      <x:c r="C37" s="5" t="str">
        <x:v>Final</x:v>
      </x:c>
      <x:c r="D37" s="5" t="str">
        <x:v>EXISTING</x:v>
      </x:c>
      <x:c r="E37" s="5" t="str">
        <x:v>NEEDS REMAKE</x:v>
      </x:c>
      <x:c r="F37" s="5" t="str">
        <x:v>NOT STARTED</x:v>
      </x:c>
      <x:c r="G37" s="5" t="str">
        <x:v>NOT STARTED</x:v>
      </x:c>
      <x:c r="H37" s="5" t="str">
        <x:v>NOT STARTED</x:v>
      </x:c>
      <x:c r="I37" s="5" t="str">
        <x:v>NOT STARTED</x:v>
      </x:c>
      <x:c r="J37" s="5" t="str">
        <x:v>NOT STARTED</x:v>
      </x:c>
      <x:c r="K37" s="5" t="str">
        <x:v>NOT STARTED</x:v>
      </x:c>
      <x:c r="L37" s="5" t="str">
        <x:v>미연결</x:v>
      </x:c>
      <x:c r="M37" s="5" t="str">
        <x:v>외형 정리 → Idle 검증 → 나머지 5상태 → 데이터 연결</x:v>
      </x:c>
    </x:row>
    <x:row r="38" ht="34.5" customHeight="1">
      <x:c r="A38" s="5" t="str">
        <x:v>제피르</x:v>
      </x:c>
      <x:c r="B38" s="5" t="str">
        <x:v>Wind</x:v>
      </x:c>
      <x:c r="C38" s="5" t="str">
        <x:v>Base</x:v>
      </x:c>
      <x:c r="D38" s="5" t="str">
        <x:v>EXISTING</x:v>
      </x:c>
      <x:c r="E38" s="5" t="str">
        <x:v>DONE</x:v>
      </x:c>
      <x:c r="F38" s="5" t="str">
        <x:v>DONE</x:v>
      </x:c>
      <x:c r="G38" s="5" t="str">
        <x:v>DONE</x:v>
      </x:c>
      <x:c r="H38" s="5" t="str">
        <x:v>DONE</x:v>
      </x:c>
      <x:c r="I38" s="5" t="str">
        <x:v>DONE</x:v>
      </x:c>
      <x:c r="J38" s="5" t="str">
        <x:v>DONE</x:v>
      </x:c>
      <x:c r="K38" s="5" t="str">
        <x:v>DONE</x:v>
      </x:c>
      <x:c r="L38" s="5" t="str">
        <x:v>DragonAnimations/ZephyrBase</x:v>
      </x:c>
      <x:c r="M38" s="5" t="str">
        <x:v>기존 결과 보호</x:v>
      </x:c>
    </x:row>
    <x:row r="39" ht="34.5" customHeight="1">
      <x:c r="A39" s="5" t="str">
        <x:v>제피르</x:v>
      </x:c>
      <x:c r="B39" s="5" t="str">
        <x:v>Wind</x:v>
      </x:c>
      <x:c r="C39" s="5" t="str">
        <x:v>Middle</x:v>
      </x:c>
      <x:c r="D39" s="5" t="str">
        <x:v>EXISTING</x:v>
      </x:c>
      <x:c r="E39" s="5" t="str">
        <x:v>DONE</x:v>
      </x:c>
      <x:c r="F39" s="5" t="str">
        <x:v>DONE</x:v>
      </x:c>
      <x:c r="G39" s="5" t="str">
        <x:v>DONE</x:v>
      </x:c>
      <x:c r="H39" s="5" t="str">
        <x:v>DONE</x:v>
      </x:c>
      <x:c r="I39" s="5" t="str">
        <x:v>DONE</x:v>
      </x:c>
      <x:c r="J39" s="5" t="str">
        <x:v>DONE</x:v>
      </x:c>
      <x:c r="K39" s="5" t="str">
        <x:v>DONE</x:v>
      </x:c>
      <x:c r="L39" s="5" t="str">
        <x:v>DragonAnimations/ZephyrMiddle</x:v>
      </x:c>
      <x:c r="M39" s="5" t="str">
        <x:v>기존 결과 보호</x:v>
      </x:c>
    </x:row>
    <x:row r="40" ht="34.5" customHeight="1">
      <x:c r="A40" s="5" t="str">
        <x:v>제피르</x:v>
      </x:c>
      <x:c r="B40" s="5" t="str">
        <x:v>Wind</x:v>
      </x:c>
      <x:c r="C40" s="5" t="str">
        <x:v>Final</x:v>
      </x:c>
      <x:c r="D40" s="5" t="str">
        <x:v>EXISTING</x:v>
      </x:c>
      <x:c r="E40" s="5" t="str">
        <x:v>DONE</x:v>
      </x:c>
      <x:c r="F40" s="5" t="str">
        <x:v>DONE</x:v>
      </x:c>
      <x:c r="G40" s="5" t="str">
        <x:v>DONE</x:v>
      </x:c>
      <x:c r="H40" s="5" t="str">
        <x:v>DONE</x:v>
      </x:c>
      <x:c r="I40" s="5" t="str">
        <x:v>DONE</x:v>
      </x:c>
      <x:c r="J40" s="5" t="str">
        <x:v>DONE</x:v>
      </x:c>
      <x:c r="K40" s="5" t="str">
        <x:v>DONE</x:v>
      </x:c>
      <x:c r="L40" s="5" t="str">
        <x:v>DragonAnimations/ZephyrFinal</x:v>
      </x:c>
      <x:c r="M40" s="5" t="str">
        <x:v>기존 결과 보호</x:v>
      </x:c>
    </x:row>
    <x:row r="41" ht="34.5" customHeight="1">
      <x:c r="A41" s="5" t="str">
        <x:v>옥타</x:v>
      </x:c>
      <x:c r="B41" s="5" t="str">
        <x:v>Water</x:v>
      </x:c>
      <x:c r="C41" s="5" t="str">
        <x:v>Base</x:v>
      </x:c>
      <x:c r="D41" s="5" t="str">
        <x:v>EXISTING</x:v>
      </x:c>
      <x:c r="E41" s="5" t="str">
        <x:v>NEEDS REMAKE</x:v>
      </x:c>
      <x:c r="F41" s="5" t="str">
        <x:v>NOT STARTED</x:v>
      </x:c>
      <x:c r="G41" s="5" t="str">
        <x:v>NOT STARTED</x:v>
      </x:c>
      <x:c r="H41" s="5" t="str">
        <x:v>NOT STARTED</x:v>
      </x:c>
      <x:c r="I41" s="5" t="str">
        <x:v>NOT STARTED</x:v>
      </x:c>
      <x:c r="J41" s="5" t="str">
        <x:v>NOT STARTED</x:v>
      </x:c>
      <x:c r="K41" s="5" t="str">
        <x:v>NOT STARTED</x:v>
      </x:c>
      <x:c r="L41" s="5" t="str">
        <x:v>미연결</x:v>
      </x:c>
      <x:c r="M41" s="5" t="str">
        <x:v>외형 정리 → Idle 검증 → 나머지 5상태 → 데이터 연결</x:v>
      </x:c>
    </x:row>
    <x:row r="42" ht="34.5" customHeight="1">
      <x:c r="A42" s="5" t="str">
        <x:v>옥타</x:v>
      </x:c>
      <x:c r="B42" s="5" t="str">
        <x:v>Water</x:v>
      </x:c>
      <x:c r="C42" s="5" t="str">
        <x:v>Middle</x:v>
      </x:c>
      <x:c r="D42" s="5" t="str">
        <x:v>EXISTING</x:v>
      </x:c>
      <x:c r="E42" s="5" t="str">
        <x:v>NEEDS REMAKE</x:v>
      </x:c>
      <x:c r="F42" s="5" t="str">
        <x:v>NOT STARTED</x:v>
      </x:c>
      <x:c r="G42" s="5" t="str">
        <x:v>NOT STARTED</x:v>
      </x:c>
      <x:c r="H42" s="5" t="str">
        <x:v>NOT STARTED</x:v>
      </x:c>
      <x:c r="I42" s="5" t="str">
        <x:v>NOT STARTED</x:v>
      </x:c>
      <x:c r="J42" s="5" t="str">
        <x:v>NOT STARTED</x:v>
      </x:c>
      <x:c r="K42" s="5" t="str">
        <x:v>NOT STARTED</x:v>
      </x:c>
      <x:c r="L42" s="5" t="str">
        <x:v>미연결</x:v>
      </x:c>
      <x:c r="M42" s="5" t="str">
        <x:v>외형 정리 → Idle 검증 → 나머지 5상태 → 데이터 연결</x:v>
      </x:c>
    </x:row>
    <x:row r="43" ht="34.5" customHeight="1">
      <x:c r="A43" s="5" t="str">
        <x:v>옥타</x:v>
      </x:c>
      <x:c r="B43" s="5" t="str">
        <x:v>Water</x:v>
      </x:c>
      <x:c r="C43" s="5" t="str">
        <x:v>Final</x:v>
      </x:c>
      <x:c r="D43" s="5" t="str">
        <x:v>EXISTING</x:v>
      </x:c>
      <x:c r="E43" s="5" t="str">
        <x:v>NEEDS REMAKE</x:v>
      </x:c>
      <x:c r="F43" s="5" t="str">
        <x:v>NOT STARTED</x:v>
      </x:c>
      <x:c r="G43" s="5" t="str">
        <x:v>NOT STARTED</x:v>
      </x:c>
      <x:c r="H43" s="5" t="str">
        <x:v>NOT STARTED</x:v>
      </x:c>
      <x:c r="I43" s="5" t="str">
        <x:v>NOT STARTED</x:v>
      </x:c>
      <x:c r="J43" s="5" t="str">
        <x:v>NOT STARTED</x:v>
      </x:c>
      <x:c r="K43" s="5" t="str">
        <x:v>NOT STARTED</x:v>
      </x:c>
      <x:c r="L43" s="5" t="str">
        <x:v>미연결</x:v>
      </x:c>
      <x:c r="M43" s="5" t="str">
        <x:v>외형 정리 → Idle 검증 → 나머지 5상태 → 데이터 연결</x:v>
      </x:c>
    </x:row>
    <x:row r="44" ht="34.5" customHeight="1">
      <x:c r="A44" s="5" t="str">
        <x:v>샤키드</x:v>
      </x:c>
      <x:c r="B44" s="5" t="str">
        <x:v>Water</x:v>
      </x:c>
      <x:c r="C44" s="5" t="str">
        <x:v>Base</x:v>
      </x:c>
      <x:c r="D44" s="5" t="str">
        <x:v>EXISTING</x:v>
      </x:c>
      <x:c r="E44" s="5" t="str">
        <x:v>NEEDS REMAKE</x:v>
      </x:c>
      <x:c r="F44" s="5" t="str">
        <x:v>NOT STARTED</x:v>
      </x:c>
      <x:c r="G44" s="5" t="str">
        <x:v>NOT STARTED</x:v>
      </x:c>
      <x:c r="H44" s="5" t="str">
        <x:v>NOT STARTED</x:v>
      </x:c>
      <x:c r="I44" s="5" t="str">
        <x:v>NOT STARTED</x:v>
      </x:c>
      <x:c r="J44" s="5" t="str">
        <x:v>NOT STARTED</x:v>
      </x:c>
      <x:c r="K44" s="5" t="str">
        <x:v>NOT STARTED</x:v>
      </x:c>
      <x:c r="L44" s="5" t="str">
        <x:v>미연결</x:v>
      </x:c>
      <x:c r="M44" s="5" t="str">
        <x:v>외형 정리 → Idle 검증 → 나머지 5상태 → 데이터 연결</x:v>
      </x:c>
    </x:row>
    <x:row r="45" ht="34.5" customHeight="1">
      <x:c r="A45" s="5" t="str">
        <x:v>샤키드</x:v>
      </x:c>
      <x:c r="B45" s="5" t="str">
        <x:v>Water</x:v>
      </x:c>
      <x:c r="C45" s="5" t="str">
        <x:v>Middle</x:v>
      </x:c>
      <x:c r="D45" s="5" t="str">
        <x:v>EXISTING</x:v>
      </x:c>
      <x:c r="E45" s="5" t="str">
        <x:v>NEEDS REMAKE</x:v>
      </x:c>
      <x:c r="F45" s="5" t="str">
        <x:v>NOT STARTED</x:v>
      </x:c>
      <x:c r="G45" s="5" t="str">
        <x:v>NOT STARTED</x:v>
      </x:c>
      <x:c r="H45" s="5" t="str">
        <x:v>NOT STARTED</x:v>
      </x:c>
      <x:c r="I45" s="5" t="str">
        <x:v>NOT STARTED</x:v>
      </x:c>
      <x:c r="J45" s="5" t="str">
        <x:v>NOT STARTED</x:v>
      </x:c>
      <x:c r="K45" s="5" t="str">
        <x:v>NOT STARTED</x:v>
      </x:c>
      <x:c r="L45" s="5" t="str">
        <x:v>미연결</x:v>
      </x:c>
      <x:c r="M45" s="5" t="str">
        <x:v>외형 정리 → Idle 검증 → 나머지 5상태 → 데이터 연결</x:v>
      </x:c>
    </x:row>
    <x:row r="46" ht="34.5" customHeight="1">
      <x:c r="A46" s="5" t="str">
        <x:v>샤키드</x:v>
      </x:c>
      <x:c r="B46" s="5" t="str">
        <x:v>Water</x:v>
      </x:c>
      <x:c r="C46" s="5" t="str">
        <x:v>Final</x:v>
      </x:c>
      <x:c r="D46" s="5" t="str">
        <x:v>EXISTING</x:v>
      </x:c>
      <x:c r="E46" s="5" t="str">
        <x:v>NEEDS REMAKE</x:v>
      </x:c>
      <x:c r="F46" s="5" t="str">
        <x:v>NOT STARTED</x:v>
      </x:c>
      <x:c r="G46" s="5" t="str">
        <x:v>NOT STARTED</x:v>
      </x:c>
      <x:c r="H46" s="5" t="str">
        <x:v>NOT STARTED</x:v>
      </x:c>
      <x:c r="I46" s="5" t="str">
        <x:v>NOT STARTED</x:v>
      </x:c>
      <x:c r="J46" s="5" t="str">
        <x:v>NOT STARTED</x:v>
      </x:c>
      <x:c r="K46" s="5" t="str">
        <x:v>NOT STARTED</x:v>
      </x:c>
      <x:c r="L46" s="5" t="str">
        <x:v>미연결</x:v>
      </x:c>
      <x:c r="M46" s="5" t="str">
        <x:v>외형 정리 → Idle 검증 → 나머지 5상태 → 데이터 연결</x:v>
      </x:c>
    </x:row>
    <x:row r="47" ht="34.5" customHeight="1">
      <x:c r="A47" s="5" t="str">
        <x:v>노바</x:v>
      </x:c>
      <x:c r="B47" s="5" t="str">
        <x:v>Dark</x:v>
      </x:c>
      <x:c r="C47" s="5" t="str">
        <x:v>Base</x:v>
      </x:c>
      <x:c r="D47" s="5" t="str">
        <x:v>EXISTING</x:v>
      </x:c>
      <x:c r="E47" s="5" t="str">
        <x:v>NEEDS REMAKE</x:v>
      </x:c>
      <x:c r="F47" s="5" t="str">
        <x:v>NOT STARTED</x:v>
      </x:c>
      <x:c r="G47" s="5" t="str">
        <x:v>NOT STARTED</x:v>
      </x:c>
      <x:c r="H47" s="5" t="str">
        <x:v>NOT STARTED</x:v>
      </x:c>
      <x:c r="I47" s="5" t="str">
        <x:v>NOT STARTED</x:v>
      </x:c>
      <x:c r="J47" s="5" t="str">
        <x:v>NOT STARTED</x:v>
      </x:c>
      <x:c r="K47" s="5" t="str">
        <x:v>NOT STARTED</x:v>
      </x:c>
      <x:c r="L47" s="5" t="str">
        <x:v>미연결</x:v>
      </x:c>
      <x:c r="M47" s="5" t="str">
        <x:v>외형 정리 → Idle 검증 → 나머지 5상태 → 데이터 연결</x:v>
      </x:c>
    </x:row>
    <x:row r="48" ht="34.5" customHeight="1">
      <x:c r="A48" s="5" t="str">
        <x:v>노바</x:v>
      </x:c>
      <x:c r="B48" s="5" t="str">
        <x:v>Dark</x:v>
      </x:c>
      <x:c r="C48" s="5" t="str">
        <x:v>Middle</x:v>
      </x:c>
      <x:c r="D48" s="5" t="str">
        <x:v>EXISTING</x:v>
      </x:c>
      <x:c r="E48" s="5" t="str">
        <x:v>NEEDS REMAKE</x:v>
      </x:c>
      <x:c r="F48" s="5" t="str">
        <x:v>NOT STARTED</x:v>
      </x:c>
      <x:c r="G48" s="5" t="str">
        <x:v>NOT STARTED</x:v>
      </x:c>
      <x:c r="H48" s="5" t="str">
        <x:v>NOT STARTED</x:v>
      </x:c>
      <x:c r="I48" s="5" t="str">
        <x:v>NOT STARTED</x:v>
      </x:c>
      <x:c r="J48" s="5" t="str">
        <x:v>NOT STARTED</x:v>
      </x:c>
      <x:c r="K48" s="5" t="str">
        <x:v>NOT STARTED</x:v>
      </x:c>
      <x:c r="L48" s="5" t="str">
        <x:v>미연결</x:v>
      </x:c>
      <x:c r="M48" s="5" t="str">
        <x:v>외형 정리 → Idle 검증 → 나머지 5상태 → 데이터 연결</x:v>
      </x:c>
    </x:row>
    <x:row r="49" ht="34.5" customHeight="1">
      <x:c r="A49" s="5" t="str">
        <x:v>노바</x:v>
      </x:c>
      <x:c r="B49" s="5" t="str">
        <x:v>Dark</x:v>
      </x:c>
      <x:c r="C49" s="5" t="str">
        <x:v>Final</x:v>
      </x:c>
      <x:c r="D49" s="5" t="str">
        <x:v>EXISTING</x:v>
      </x:c>
      <x:c r="E49" s="5" t="str">
        <x:v>NEEDS REMAKE</x:v>
      </x:c>
      <x:c r="F49" s="5" t="str">
        <x:v>NOT STARTED</x:v>
      </x:c>
      <x:c r="G49" s="5" t="str">
        <x:v>NOT STARTED</x:v>
      </x:c>
      <x:c r="H49" s="5" t="str">
        <x:v>NOT STARTED</x:v>
      </x:c>
      <x:c r="I49" s="5" t="str">
        <x:v>NOT STARTED</x:v>
      </x:c>
      <x:c r="J49" s="5" t="str">
        <x:v>NOT STARTED</x:v>
      </x:c>
      <x:c r="K49" s="5" t="str">
        <x:v>NOT STARTED</x:v>
      </x:c>
      <x:c r="L49" s="5" t="str">
        <x:v>미연결</x:v>
      </x:c>
      <x:c r="M49" s="5" t="str">
        <x:v>외형 정리 → Idle 검증 → 나머지 5상태 → 데이터 연결</x:v>
      </x:c>
    </x:row>
    <x:row r="50" ht="34.5" customHeight="1">
      <x:c r="A50" s="5" t="str">
        <x:v>베놈</x:v>
      </x:c>
      <x:c r="B50" s="5" t="str">
        <x:v>Dark</x:v>
      </x:c>
      <x:c r="C50" s="5" t="str">
        <x:v>Base</x:v>
      </x:c>
      <x:c r="D50" s="5" t="str">
        <x:v>EXISTING</x:v>
      </x:c>
      <x:c r="E50" s="5" t="str">
        <x:v>NEEDS REMAKE</x:v>
      </x:c>
      <x:c r="F50" s="5" t="str">
        <x:v>NOT STARTED</x:v>
      </x:c>
      <x:c r="G50" s="5" t="str">
        <x:v>NOT STARTED</x:v>
      </x:c>
      <x:c r="H50" s="5" t="str">
        <x:v>NOT STARTED</x:v>
      </x:c>
      <x:c r="I50" s="5" t="str">
        <x:v>NOT STARTED</x:v>
      </x:c>
      <x:c r="J50" s="5" t="str">
        <x:v>NOT STARTED</x:v>
      </x:c>
      <x:c r="K50" s="5" t="str">
        <x:v>NOT STARTED</x:v>
      </x:c>
      <x:c r="L50" s="5" t="str">
        <x:v>미연결</x:v>
      </x:c>
      <x:c r="M50" s="5" t="str">
        <x:v>외형 정리 → Idle 검증 → 나머지 5상태 → 데이터 연결</x:v>
      </x:c>
    </x:row>
    <x:row r="51" ht="34.5" customHeight="1">
      <x:c r="A51" s="5" t="str">
        <x:v>베놈</x:v>
      </x:c>
      <x:c r="B51" s="5" t="str">
        <x:v>Dark</x:v>
      </x:c>
      <x:c r="C51" s="5" t="str">
        <x:v>Middle</x:v>
      </x:c>
      <x:c r="D51" s="5" t="str">
        <x:v>EXISTING</x:v>
      </x:c>
      <x:c r="E51" s="5" t="str">
        <x:v>NEEDS REMAKE</x:v>
      </x:c>
      <x:c r="F51" s="5" t="str">
        <x:v>NOT STARTED</x:v>
      </x:c>
      <x:c r="G51" s="5" t="str">
        <x:v>NOT STARTED</x:v>
      </x:c>
      <x:c r="H51" s="5" t="str">
        <x:v>NOT STARTED</x:v>
      </x:c>
      <x:c r="I51" s="5" t="str">
        <x:v>NOT STARTED</x:v>
      </x:c>
      <x:c r="J51" s="5" t="str">
        <x:v>NOT STARTED</x:v>
      </x:c>
      <x:c r="K51" s="5" t="str">
        <x:v>NOT STARTED</x:v>
      </x:c>
      <x:c r="L51" s="5" t="str">
        <x:v>미연결</x:v>
      </x:c>
      <x:c r="M51" s="5" t="str">
        <x:v>외형 정리 → Idle 검증 → 나머지 5상태 → 데이터 연결</x:v>
      </x:c>
    </x:row>
    <x:row r="52" ht="34.5" customHeight="1">
      <x:c r="A52" s="5" t="str">
        <x:v>베놈</x:v>
      </x:c>
      <x:c r="B52" s="5" t="str">
        <x:v>Dark</x:v>
      </x:c>
      <x:c r="C52" s="5" t="str">
        <x:v>Final</x:v>
      </x:c>
      <x:c r="D52" s="5" t="str">
        <x:v>EXISTING</x:v>
      </x:c>
      <x:c r="E52" s="5" t="str">
        <x:v>NEEDS REMAKE</x:v>
      </x:c>
      <x:c r="F52" s="5" t="str">
        <x:v>NOT STARTED</x:v>
      </x:c>
      <x:c r="G52" s="5" t="str">
        <x:v>NOT STARTED</x:v>
      </x:c>
      <x:c r="H52" s="5" t="str">
        <x:v>NOT STARTED</x:v>
      </x:c>
      <x:c r="I52" s="5" t="str">
        <x:v>NOT STARTED</x:v>
      </x:c>
      <x:c r="J52" s="5" t="str">
        <x:v>NOT STARTED</x:v>
      </x:c>
      <x:c r="K52" s="5" t="str">
        <x:v>NOT STARTED</x:v>
      </x:c>
      <x:c r="L52" s="5" t="str">
        <x:v>미연결</x:v>
      </x:c>
      <x:c r="M52" s="5" t="str">
        <x:v>외형 정리 → Idle 검증 → 나머지 5상태 → 데이터 연결</x:v>
      </x:c>
    </x:row>
  </x:sheetData>
  <x:conditionalFormatting sqref="A5:M52">
    <x:cfRule type="cellIs" dxfId="8" priority="1" operator="equal">
      <x:formula>"DONE"</x:formula>
    </x:cfRule>
    <x:cfRule type="cellIs" dxfId="9" priority="2" operator="equal">
      <x:formula>"NEEDS DESIGN"</x:formula>
    </x:cfRule>
    <x:cfRule type="cellIs" dxfId="10" priority="3" operator="equal">
      <x:formula>"NEEDS REMAKE"</x:formula>
    </x:cfRule>
    <x:cfRule type="cellIs" dxfId="11" priority="4" operator="equal">
      <x:formula>"NOT STARTED"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d95ecf1c177445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.5" hidden="0" customWidth="1"/>
    <x:col min="2" max="2" width="16.8799991607666" hidden="0" customWidth="1"/>
    <x:col min="3" max="3" width="15" hidden="0" customWidth="1"/>
    <x:col min="4" max="4" width="31.25" hidden="0" customWidth="1"/>
    <x:col min="5" max="5" width="15.630000114440918" hidden="0" customWidth="1"/>
    <x:col min="6" max="6" width="12.5" hidden="0" customWidth="1"/>
    <x:col min="7" max="7" width="16.25" hidden="0" customWidth="1"/>
    <x:col min="8" max="8" width="16.25" hidden="0" customWidth="1"/>
    <x:col min="9" max="9" width="12.5" hidden="0" customWidth="1"/>
    <x:col min="10" max="10" width="18.75" hidden="0" customWidth="1"/>
    <x:col min="11" max="11" width="35" hidden="0" customWidth="1"/>
    <x:col min="12" max="12" width="22.5" hidden="0" customWidth="1"/>
    <x:col min="13" max="13" width="28.75" hidden="0" customWidth="1"/>
    <x:col min="14" max="14" width="47.5" hidden="0" customWidth="1"/>
  </x:cols>
  <x:sheetData>
    <x:row r="1" ht="30" customHeight="1">
      <x:c r="A1" s="2" t="str">
        <x:v>현재 Skill Data 목록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3" customHeight="1">
      <x:c r="A2" s="3" t="str">
        <x:v>역할은 현재 hitCount/status 데이터 요약. 새 VFX 콘셉트 아님. CD 단위 초 / 피해량 밸런싱 제외 / 등급 원문 유지.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 ht="31.5" customHeight="1">
      <x:c r="A4" s="7" t="str">
        <x:v>Element</x:v>
      </x:c>
      <x:c r="B4" s="7" t="str">
        <x:v>Skill</x:v>
      </x:c>
      <x:c r="C4" s="7" t="str">
        <x:v>현재 등급</x:v>
      </x:c>
      <x:c r="D4" s="7" t="str">
        <x:v>현재 역할</x:v>
      </x:c>
      <x:c r="E4" s="7" t="str">
        <x:v>Cooldown (s)</x:v>
      </x:c>
      <x:c r="F4" s="7" t="str">
        <x:v>Hit Count</x:v>
      </x:c>
      <x:c r="G4" s="7" t="str">
        <x:v>Hit Interval (s)</x:v>
      </x:c>
      <x:c r="H4" s="7" t="str">
        <x:v>Initial Delay (s)</x:v>
      </x:c>
      <x:c r="I4" s="7" t="str">
        <x:v>Status</x:v>
      </x:c>
      <x:c r="J4" s="7" t="str">
        <x:v>Status Chance (%)</x:v>
      </x:c>
      <x:c r="K4" s="7" t="str">
        <x:v>현재 Pool / 소유권</x:v>
      </x:c>
      <x:c r="L4" s="7" t="str">
        <x:v>Legacy VFX</x:v>
      </x:c>
      <x:c r="M4" s="7" t="str">
        <x:v>Stable ID</x:v>
      </x:c>
      <x:c r="N4" s="7" t="str">
        <x:v>Source</x:v>
      </x:c>
    </x:row>
    <x:row r="5" ht="45" customHeight="1">
      <x:c r="A5" s="5" t="str">
        <x:v>Ice</x:v>
      </x:c>
      <x:c r="B5" s="5" t="str">
        <x:v>고드름침</x:v>
      </x:c>
      <x:c r="C5" s="5" t="str">
        <x:v>Common</x:v>
      </x:c>
      <x:c r="D5" s="5" t="str">
        <x:v>단일 타격</x:v>
      </x:c>
      <x:c r="E5" s="13" t="n">
        <x:v>5.5</x:v>
      </x:c>
      <x:c r="F5" s="14" t="n">
        <x:v>1</x:v>
      </x:c>
      <x:c r="G5" s="15" t="n">
        <x:v>0.14</x:v>
      </x:c>
      <x:c r="H5" s="15" t="n">
        <x:v>0</x:v>
      </x:c>
      <x:c r="I5" s="5" t="str">
        <x:v>없음</x:v>
      </x:c>
      <x:c r="J5" s="14" t="n">
        <x:v>0</x:v>
      </x:c>
      <x:c r="K5" s="5" t="str">
        <x:v>속성 필터 후보 / Pool 에셋 없음</x:v>
      </x:c>
      <x:c r="L5" s="5" t="str">
        <x:v>EXISTING</x:v>
      </x:c>
      <x:c r="M5" s="5" t="str">
        <x:v>skill_frost_Icicle</x:v>
      </x:c>
      <x:c r="N5" s="5" t="str">
        <x:v>Assets/Data/Skill1.asset</x:v>
      </x:c>
    </x:row>
    <x:row r="6" ht="45" customHeight="1">
      <x:c r="A6" s="5" t="str">
        <x:v>Ice</x:v>
      </x:c>
      <x:c r="B6" s="5" t="str">
        <x:v>얼음 강타</x:v>
      </x:c>
      <x:c r="C6" s="5" t="str">
        <x:v>Common</x:v>
      </x:c>
      <x:c r="D6" s="5" t="str">
        <x:v>2회 연속 타격 + Slow</x:v>
      </x:c>
      <x:c r="E6" s="13" t="n">
        <x:v>7</x:v>
      </x:c>
      <x:c r="F6" s="14" t="n">
        <x:v>2</x:v>
      </x:c>
      <x:c r="G6" s="15" t="n">
        <x:v>0.22</x:v>
      </x:c>
      <x:c r="H6" s="15" t="n">
        <x:v>0</x:v>
      </x:c>
      <x:c r="I6" s="5" t="str">
        <x:v>Slow</x:v>
      </x:c>
      <x:c r="J6" s="14" t="n">
        <x:v>50</x:v>
      </x:c>
      <x:c r="K6" s="5" t="str">
        <x:v>속성 필터 후보 / Pool 에셋 없음</x:v>
      </x:c>
      <x:c r="L6" s="5" t="str">
        <x:v>EXISTING</x:v>
      </x:c>
      <x:c r="M6" s="5" t="str">
        <x:v>skill_ice_slam</x:v>
      </x:c>
      <x:c r="N6" s="5" t="str">
        <x:v>Assets/Data/Skills/skill_ice_slam.asset</x:v>
      </x:c>
    </x:row>
    <x:row r="7" ht="45" customHeight="1">
      <x:c r="A7" s="5" t="str">
        <x:v>Ice</x:v>
      </x:c>
      <x:c r="B7" s="5" t="str">
        <x:v>얼음 베기</x:v>
      </x:c>
      <x:c r="C7" s="5" t="str">
        <x:v>Common</x:v>
      </x:c>
      <x:c r="D7" s="5" t="str">
        <x:v>3회 연속 타격 + Slow</x:v>
      </x:c>
      <x:c r="E7" s="13" t="n">
        <x:v>5.5</x:v>
      </x:c>
      <x:c r="F7" s="14" t="n">
        <x:v>3</x:v>
      </x:c>
      <x:c r="G7" s="15" t="n">
        <x:v>0.12</x:v>
      </x:c>
      <x:c r="H7" s="15" t="n">
        <x:v>0</x:v>
      </x:c>
      <x:c r="I7" s="5" t="str">
        <x:v>Slow</x:v>
      </x:c>
      <x:c r="J7" s="14" t="n">
        <x:v>30</x:v>
      </x:c>
      <x:c r="K7" s="5" t="str">
        <x:v>속성 필터 후보 / Pool 에셋 없음</x:v>
      </x:c>
      <x:c r="L7" s="5" t="str">
        <x:v>EXISTING</x:v>
      </x:c>
      <x:c r="M7" s="5" t="str">
        <x:v>skill_ice_slash</x:v>
      </x:c>
      <x:c r="N7" s="5" t="str">
        <x:v>Assets/Data/Skills/skill_ice_slash.asset</x:v>
      </x:c>
    </x:row>
    <x:row r="8" ht="45" customHeight="1">
      <x:c r="A8" s="5" t="str">
        <x:v>Ice</x:v>
      </x:c>
      <x:c r="B8" s="5" t="str">
        <x:v>달의 연격</x:v>
      </x:c>
      <x:c r="C8" s="5" t="str">
        <x:v>Common</x:v>
      </x:c>
      <x:c r="D8" s="5" t="str">
        <x:v>6회 연속 타격 + Slow</x:v>
      </x:c>
      <x:c r="E8" s="13" t="n">
        <x:v>10</x:v>
      </x:c>
      <x:c r="F8" s="14" t="n">
        <x:v>6</x:v>
      </x:c>
      <x:c r="G8" s="15" t="n">
        <x:v>0.13</x:v>
      </x:c>
      <x:c r="H8" s="15" t="n">
        <x:v>0</x:v>
      </x:c>
      <x:c r="I8" s="5" t="str">
        <x:v>Slow</x:v>
      </x:c>
      <x:c r="J8" s="14" t="n">
        <x:v>75</x:v>
      </x:c>
      <x:c r="K8" s="5" t="str">
        <x:v>속성 필터 후보 / Pool 에셋 없음</x:v>
      </x:c>
      <x:c r="L8" s="5" t="str">
        <x:v>EXISTING</x:v>
      </x:c>
      <x:c r="M8" s="5" t="str">
        <x:v>skill_moon_combo</x:v>
      </x:c>
      <x:c r="N8" s="5" t="str">
        <x:v>Assets/Data/Skills/skill_moon_combo.asset</x:v>
      </x:c>
    </x:row>
    <x:row r="9" ht="45" customHeight="1">
      <x:c r="A9" s="5" t="str">
        <x:v>Fire</x:v>
      </x:c>
      <x:c r="B9" s="5" t="str">
        <x:v>화염 폭발</x:v>
      </x:c>
      <x:c r="C9" s="5" t="str">
        <x:v>Common</x:v>
      </x:c>
      <x:c r="D9" s="5" t="str">
        <x:v>단일 타격</x:v>
      </x:c>
      <x:c r="E9" s="13" t="n">
        <x:v>4</x:v>
      </x:c>
      <x:c r="F9" s="14" t="n">
        <x:v>1</x:v>
      </x:c>
      <x:c r="G9" s="15" t="n">
        <x:v>0.14</x:v>
      </x:c>
      <x:c r="H9" s="15" t="n">
        <x:v>0</x:v>
      </x:c>
      <x:c r="I9" s="5" t="str">
        <x:v>없음</x:v>
      </x:c>
      <x:c r="J9" s="14" t="n">
        <x:v>0</x:v>
      </x:c>
      <x:c r="K9" s="5" t="str">
        <x:v>속성 필터 후보 / Pool 에셋 없음</x:v>
      </x:c>
      <x:c r="L9" s="5" t="str">
        <x:v>EXISTING</x:v>
      </x:c>
      <x:c r="M9" s="5" t="str">
        <x:v>skill_fire_burst</x:v>
      </x:c>
      <x:c r="N9" s="5" t="str">
        <x:v>Assets/Data/Skill0.asset</x:v>
      </x:c>
    </x:row>
    <x:row r="10" ht="45" customHeight="1">
      <x:c r="A10" s="5" t="str">
        <x:v>Fire</x:v>
      </x:c>
      <x:c r="B10" s="5" t="str">
        <x:v>화염샷</x:v>
      </x:c>
      <x:c r="C10" s="5" t="str">
        <x:v>Common</x:v>
      </x:c>
      <x:c r="D10" s="5" t="str">
        <x:v>3회 연속 타격 + Burn</x:v>
      </x:c>
      <x:c r="E10" s="13" t="n">
        <x:v>5</x:v>
      </x:c>
      <x:c r="F10" s="14" t="n">
        <x:v>3</x:v>
      </x:c>
      <x:c r="G10" s="15" t="n">
        <x:v>0.13</x:v>
      </x:c>
      <x:c r="H10" s="15" t="n">
        <x:v>0</x:v>
      </x:c>
      <x:c r="I10" s="5" t="str">
        <x:v>Burn</x:v>
      </x:c>
      <x:c r="J10" s="14" t="n">
        <x:v>25</x:v>
      </x:c>
      <x:c r="K10" s="5" t="str">
        <x:v>속성 필터 후보 / Pool 에셋 없음</x:v>
      </x:c>
      <x:c r="L10" s="5" t="str">
        <x:v>EXISTING</x:v>
      </x:c>
      <x:c r="M10" s="5" t="str">
        <x:v>skill_fire_shot</x:v>
      </x:c>
      <x:c r="N10" s="5" t="str">
        <x:v>Assets/Data/Skills/skill_fire_shot.asset</x:v>
      </x:c>
    </x:row>
    <x:row r="11" ht="45" customHeight="1">
      <x:c r="A11" s="5" t="str">
        <x:v>Fire</x:v>
      </x:c>
      <x:c r="B11" s="5" t="str">
        <x:v>메테오</x:v>
      </x:c>
      <x:c r="C11" s="5" t="str">
        <x:v>Common</x:v>
      </x:c>
      <x:c r="D11" s="5" t="str">
        <x:v>3회 연속 타격 + Burn</x:v>
      </x:c>
      <x:c r="E11" s="13" t="n">
        <x:v>8</x:v>
      </x:c>
      <x:c r="F11" s="14" t="n">
        <x:v>3</x:v>
      </x:c>
      <x:c r="G11" s="15" t="n">
        <x:v>0.22</x:v>
      </x:c>
      <x:c r="H11" s="15" t="n">
        <x:v>0</x:v>
      </x:c>
      <x:c r="I11" s="5" t="str">
        <x:v>Burn</x:v>
      </x:c>
      <x:c r="J11" s="14" t="n">
        <x:v>40</x:v>
      </x:c>
      <x:c r="K11" s="5" t="str">
        <x:v>속성 필터 후보 / Pool 에셋 없음</x:v>
      </x:c>
      <x:c r="L11" s="5" t="str">
        <x:v>EXISTING</x:v>
      </x:c>
      <x:c r="M11" s="5" t="str">
        <x:v>skill_meteor</x:v>
      </x:c>
      <x:c r="N11" s="5" t="str">
        <x:v>Assets/Data/Skills/skill_meteor.asset</x:v>
      </x:c>
    </x:row>
    <x:row r="12" ht="45" customHeight="1">
      <x:c r="A12" s="5" t="str">
        <x:v>Fire</x:v>
      </x:c>
      <x:c r="B12" s="5" t="str">
        <x:v>연옥</x:v>
      </x:c>
      <x:c r="C12" s="5" t="str">
        <x:v>Common</x:v>
      </x:c>
      <x:c r="D12" s="5" t="str">
        <x:v>6회 연속 타격 + Burn</x:v>
      </x:c>
      <x:c r="E12" s="13" t="n">
        <x:v>11</x:v>
      </x:c>
      <x:c r="F12" s="14" t="n">
        <x:v>6</x:v>
      </x:c>
      <x:c r="G12" s="15" t="n">
        <x:v>0.16</x:v>
      </x:c>
      <x:c r="H12" s="15" t="n">
        <x:v>0</x:v>
      </x:c>
      <x:c r="I12" s="5" t="str">
        <x:v>Burn</x:v>
      </x:c>
      <x:c r="J12" s="14" t="n">
        <x:v>70</x:v>
      </x:c>
      <x:c r="K12" s="5" t="str">
        <x:v>속성 필터 후보 / Pool 에셋 없음</x:v>
      </x:c>
      <x:c r="L12" s="5" t="str">
        <x:v>EXISTING</x:v>
      </x:c>
      <x:c r="M12" s="5" t="str">
        <x:v>skill_purgatory</x:v>
      </x:c>
      <x:c r="N12" s="5" t="str">
        <x:v>Assets/Data/Skills/skill_purgatory.asset</x:v>
      </x:c>
    </x:row>
    <x:row r="13" ht="45" customHeight="1">
      <x:c r="A13" s="5" t="str">
        <x:v>Earth</x:v>
      </x:c>
      <x:c r="B13" s="5" t="str">
        <x:v>모래폭풍</x:v>
      </x:c>
      <x:c r="C13" s="5" t="str">
        <x:v>Common</x:v>
      </x:c>
      <x:c r="D13" s="5" t="str">
        <x:v>4회 연속 타격 + Slow</x:v>
      </x:c>
      <x:c r="E13" s="13" t="n">
        <x:v>5</x:v>
      </x:c>
      <x:c r="F13" s="14" t="n">
        <x:v>4</x:v>
      </x:c>
      <x:c r="G13" s="15" t="n">
        <x:v>0.18</x:v>
      </x:c>
      <x:c r="H13" s="15" t="n">
        <x:v>0</x:v>
      </x:c>
      <x:c r="I13" s="5" t="str">
        <x:v>Slow</x:v>
      </x:c>
      <x:c r="J13" s="14" t="n">
        <x:v>35</x:v>
      </x:c>
      <x:c r="K13" s="5" t="str">
        <x:v>속성 필터 후보 / Pool 에셋 없음</x:v>
      </x:c>
      <x:c r="L13" s="5" t="str">
        <x:v>EXISTING</x:v>
      </x:c>
      <x:c r="M13" s="5" t="str">
        <x:v>skill_dust_storm</x:v>
      </x:c>
      <x:c r="N13" s="5" t="str">
        <x:v>Assets/Data/Skills/skill_dust_storm.asset</x:v>
      </x:c>
    </x:row>
    <x:row r="14" ht="45" customHeight="1">
      <x:c r="A14" s="5" t="str">
        <x:v>Earth</x:v>
      </x:c>
      <x:c r="B14" s="5" t="str">
        <x:v>어스퀘이크</x:v>
      </x:c>
      <x:c r="C14" s="5" t="str">
        <x:v>Common</x:v>
      </x:c>
      <x:c r="D14" s="5" t="str">
        <x:v>3회 연속 타격 + Slow</x:v>
      </x:c>
      <x:c r="E14" s="13" t="n">
        <x:v>9</x:v>
      </x:c>
      <x:c r="F14" s="14" t="n">
        <x:v>3</x:v>
      </x:c>
      <x:c r="G14" s="15" t="n">
        <x:v>0.24</x:v>
      </x:c>
      <x:c r="H14" s="15" t="n">
        <x:v>0</x:v>
      </x:c>
      <x:c r="I14" s="5" t="str">
        <x:v>Slow</x:v>
      </x:c>
      <x:c r="J14" s="14" t="n">
        <x:v>60</x:v>
      </x:c>
      <x:c r="K14" s="5" t="str">
        <x:v>속성 필터 후보 / Pool 에셋 없음</x:v>
      </x:c>
      <x:c r="L14" s="5" t="str">
        <x:v>EXISTING</x:v>
      </x:c>
      <x:c r="M14" s="5" t="str">
        <x:v>skill_earthquake</x:v>
      </x:c>
      <x:c r="N14" s="5" t="str">
        <x:v>Assets/Data/Skills/skill_earthquake.asset</x:v>
      </x:c>
    </x:row>
    <x:row r="15" ht="45" customHeight="1">
      <x:c r="A15" s="5" t="str">
        <x:v>Earth</x:v>
      </x:c>
      <x:c r="B15" s="5" t="str">
        <x:v>짱돌 스매쉬</x:v>
      </x:c>
      <x:c r="C15" s="5" t="str">
        <x:v>Common</x:v>
      </x:c>
      <x:c r="D15" s="5" t="str">
        <x:v>단일 타격</x:v>
      </x:c>
      <x:c r="E15" s="13" t="n">
        <x:v>2.5</x:v>
      </x:c>
      <x:c r="F15" s="14" t="n">
        <x:v>1</x:v>
      </x:c>
      <x:c r="G15" s="15" t="n">
        <x:v>0.14</x:v>
      </x:c>
      <x:c r="H15" s="15" t="n">
        <x:v>0</x:v>
      </x:c>
      <x:c r="I15" s="5" t="str">
        <x:v>없음</x:v>
      </x:c>
      <x:c r="J15" s="14" t="n">
        <x:v>0</x:v>
      </x:c>
      <x:c r="K15" s="5" t="str">
        <x:v>속성 필터 후보 / Pool 에셋 없음</x:v>
      </x:c>
      <x:c r="L15" s="5" t="str">
        <x:v>EXISTING</x:v>
      </x:c>
      <x:c r="M15" s="5" t="str">
        <x:v>skill_sandstorm</x:v>
      </x:c>
      <x:c r="N15" s="5" t="str">
        <x:v>Assets/Data/Skill3.asset</x:v>
      </x:c>
    </x:row>
    <x:row r="16" ht="45" customHeight="1">
      <x:c r="A16" s="5" t="str">
        <x:v>Earth</x:v>
      </x:c>
      <x:c r="B16" s="5" t="str">
        <x:v>쇼크웨이브</x:v>
      </x:c>
      <x:c r="C16" s="5" t="str">
        <x:v>Common</x:v>
      </x:c>
      <x:c r="D16" s="5" t="str">
        <x:v>4회 연속 타격 + Paralyze</x:v>
      </x:c>
      <x:c r="E16" s="13" t="n">
        <x:v>8</x:v>
      </x:c>
      <x:c r="F16" s="14" t="n">
        <x:v>4</x:v>
      </x:c>
      <x:c r="G16" s="15" t="n">
        <x:v>0.15</x:v>
      </x:c>
      <x:c r="H16" s="15" t="n">
        <x:v>0</x:v>
      </x:c>
      <x:c r="I16" s="5" t="str">
        <x:v>Paralyze</x:v>
      </x:c>
      <x:c r="J16" s="14" t="n">
        <x:v>30</x:v>
      </x:c>
      <x:c r="K16" s="5" t="str">
        <x:v>속성 필터 후보 / Pool 에셋 없음</x:v>
      </x:c>
      <x:c r="L16" s="5" t="str">
        <x:v>EXISTING</x:v>
      </x:c>
      <x:c r="M16" s="5" t="str">
        <x:v>skill_shockwave</x:v>
      </x:c>
      <x:c r="N16" s="5" t="str">
        <x:v>Assets/Data/Skills/skill_shockwave.asset</x:v>
      </x:c>
    </x:row>
    <x:row r="17" ht="45" customHeight="1">
      <x:c r="A17" s="5" t="str">
        <x:v>Lightning</x:v>
      </x:c>
      <x:c r="B17" s="5" t="str">
        <x:v>전격</x:v>
      </x:c>
      <x:c r="C17" s="5" t="str">
        <x:v>Common</x:v>
      </x:c>
      <x:c r="D17" s="5" t="str">
        <x:v>3회 연속 타격 + Paralyze</x:v>
      </x:c>
      <x:c r="E17" s="13" t="n">
        <x:v>4</x:v>
      </x:c>
      <x:c r="F17" s="14" t="n">
        <x:v>3</x:v>
      </x:c>
      <x:c r="G17" s="15" t="n">
        <x:v>0.1</x:v>
      </x:c>
      <x:c r="H17" s="15" t="n">
        <x:v>0</x:v>
      </x:c>
      <x:c r="I17" s="5" t="str">
        <x:v>Paralyze</x:v>
      </x:c>
      <x:c r="J17" s="14" t="n">
        <x:v>20</x:v>
      </x:c>
      <x:c r="K17" s="5" t="str">
        <x:v>속성 필터 후보 / Pool 에셋 없음</x:v>
      </x:c>
      <x:c r="L17" s="5" t="str">
        <x:v>EXISTING</x:v>
      </x:c>
      <x:c r="M17" s="5" t="str">
        <x:v>skill_electric_bolt</x:v>
      </x:c>
      <x:c r="N17" s="5" t="str">
        <x:v>Assets/Data/Skills/skill_electric_bolt.asset</x:v>
      </x:c>
    </x:row>
    <x:row r="18" ht="45" customHeight="1">
      <x:c r="A18" s="5" t="str">
        <x:v>Lightning</x:v>
      </x:c>
      <x:c r="B18" s="5" t="str">
        <x:v>전기 쇼크</x:v>
      </x:c>
      <x:c r="C18" s="5" t="str">
        <x:v>Common</x:v>
      </x:c>
      <x:c r="D18" s="5" t="str">
        <x:v>단일 타격</x:v>
      </x:c>
      <x:c r="E18" s="13" t="n">
        <x:v>2.5</x:v>
      </x:c>
      <x:c r="F18" s="14" t="n">
        <x:v>1</x:v>
      </x:c>
      <x:c r="G18" s="15" t="n">
        <x:v>0.14</x:v>
      </x:c>
      <x:c r="H18" s="15" t="n">
        <x:v>0</x:v>
      </x:c>
      <x:c r="I18" s="5" t="str">
        <x:v>없음</x:v>
      </x:c>
      <x:c r="J18" s="14" t="n">
        <x:v>0</x:v>
      </x:c>
      <x:c r="K18" s="5" t="str">
        <x:v>속성 필터 후보 / Pool 에셋 없음</x:v>
      </x:c>
      <x:c r="L18" s="5" t="str">
        <x:v>EXISTING</x:v>
      </x:c>
      <x:c r="M18" s="5" t="str">
        <x:v>skill_electric_shock</x:v>
      </x:c>
      <x:c r="N18" s="5" t="str">
        <x:v>Assets/Data/Skill4.asset</x:v>
      </x:c>
    </x:row>
    <x:row r="19" ht="45" customHeight="1">
      <x:c r="A19" s="5" t="str">
        <x:v>Lightning</x:v>
      </x:c>
      <x:c r="B19" s="5" t="str">
        <x:v>번개구체</x:v>
      </x:c>
      <x:c r="C19" s="5" t="str">
        <x:v>Common</x:v>
      </x:c>
      <x:c r="D19" s="5" t="str">
        <x:v>6회 연속 타격 + Paralyze</x:v>
      </x:c>
      <x:c r="E19" s="13" t="n">
        <x:v>6</x:v>
      </x:c>
      <x:c r="F19" s="14" t="n">
        <x:v>6</x:v>
      </x:c>
      <x:c r="G19" s="15" t="n">
        <x:v>0.12</x:v>
      </x:c>
      <x:c r="H19" s="15" t="n">
        <x:v>0</x:v>
      </x:c>
      <x:c r="I19" s="5" t="str">
        <x:v>Paralyze</x:v>
      </x:c>
      <x:c r="J19" s="14" t="n">
        <x:v>35</x:v>
      </x:c>
      <x:c r="K19" s="5" t="str">
        <x:v>속성 필터 후보 / Pool 에셋 없음</x:v>
      </x:c>
      <x:c r="L19" s="5" t="str">
        <x:v>EXISTING</x:v>
      </x:c>
      <x:c r="M19" s="5" t="str">
        <x:v>skill_lightning_orb</x:v>
      </x:c>
      <x:c r="N19" s="5" t="str">
        <x:v>Assets/Data/Skills/skill_lightning_orb.asset</x:v>
      </x:c>
    </x:row>
    <x:row r="20" ht="45" customHeight="1">
      <x:c r="A20" s="5" t="str">
        <x:v>Lightning</x:v>
      </x:c>
      <x:c r="B20" s="5" t="str">
        <x:v>뇌격</x:v>
      </x:c>
      <x:c r="C20" s="5" t="str">
        <x:v>Common</x:v>
      </x:c>
      <x:c r="D20" s="5" t="str">
        <x:v>4회 연속 타격 + Paralyze</x:v>
      </x:c>
      <x:c r="E20" s="13" t="n">
        <x:v>9</x:v>
      </x:c>
      <x:c r="F20" s="14" t="n">
        <x:v>4</x:v>
      </x:c>
      <x:c r="G20" s="15" t="n">
        <x:v>0.18</x:v>
      </x:c>
      <x:c r="H20" s="15" t="n">
        <x:v>0</x:v>
      </x:c>
      <x:c r="I20" s="5" t="str">
        <x:v>Paralyze</x:v>
      </x:c>
      <x:c r="J20" s="14" t="n">
        <x:v>55</x:v>
      </x:c>
      <x:c r="K20" s="5" t="str">
        <x:v>속성 필터 후보 / Pool 에셋 없음</x:v>
      </x:c>
      <x:c r="L20" s="5" t="str">
        <x:v>EXISTING</x:v>
      </x:c>
      <x:c r="M20" s="5" t="str">
        <x:v>skill_thunder_strike</x:v>
      </x:c>
      <x:c r="N20" s="5" t="str">
        <x:v>Assets/Data/Skills/skill_thunder_strike.asset</x:v>
      </x:c>
    </x:row>
    <x:row r="21" ht="45" customHeight="1">
      <x:c r="A21" s="5" t="str">
        <x:v>Light</x:v>
      </x:c>
      <x:c r="B21" s="5" t="str">
        <x:v>빅뱅</x:v>
      </x:c>
      <x:c r="C21" s="5" t="str">
        <x:v>Common</x:v>
      </x:c>
      <x:c r="D21" s="5" t="str">
        <x:v>6회 연속 타격 + Paralyze</x:v>
      </x:c>
      <x:c r="E21" s="13" t="n">
        <x:v>10.5</x:v>
      </x:c>
      <x:c r="F21" s="14" t="n">
        <x:v>6</x:v>
      </x:c>
      <x:c r="G21" s="15" t="n">
        <x:v>0.16</x:v>
      </x:c>
      <x:c r="H21" s="15" t="n">
        <x:v>0</x:v>
      </x:c>
      <x:c r="I21" s="5" t="str">
        <x:v>Paralyze</x:v>
      </x:c>
      <x:c r="J21" s="14" t="n">
        <x:v>55</x:v>
      </x:c>
      <x:c r="K21" s="5" t="str">
        <x:v>속성 필터 후보 / Pool 에셋 없음</x:v>
      </x:c>
      <x:c r="L21" s="5" t="str">
        <x:v>EXISTING</x:v>
      </x:c>
      <x:c r="M21" s="5" t="str">
        <x:v>skill_big_bang</x:v>
      </x:c>
      <x:c r="N21" s="5" t="str">
        <x:v>Assets/Data/Skills/skill_big_bang.asset</x:v>
      </x:c>
    </x:row>
    <x:row r="22" ht="45" customHeight="1">
      <x:c r="A22" s="5" t="str">
        <x:v>Light</x:v>
      </x:c>
      <x:c r="B22" s="5" t="str">
        <x:v>섬광 폭발</x:v>
      </x:c>
      <x:c r="C22" s="5" t="str">
        <x:v>Common</x:v>
      </x:c>
      <x:c r="D22" s="5" t="str">
        <x:v>단일 타격</x:v>
      </x:c>
      <x:c r="E22" s="13" t="n">
        <x:v>2.5</x:v>
      </x:c>
      <x:c r="F22" s="14" t="n">
        <x:v>1</x:v>
      </x:c>
      <x:c r="G22" s="15" t="n">
        <x:v>0.14</x:v>
      </x:c>
      <x:c r="H22" s="15" t="n">
        <x:v>0</x:v>
      </x:c>
      <x:c r="I22" s="5" t="str">
        <x:v>없음</x:v>
      </x:c>
      <x:c r="J22" s="14" t="n">
        <x:v>0</x:v>
      </x:c>
      <x:c r="K22" s="5" t="str">
        <x:v>속성 필터 후보 / Pool 에셋 없음</x:v>
      </x:c>
      <x:c r="L22" s="5" t="str">
        <x:v>EXISTING</x:v>
      </x:c>
      <x:c r="M22" s="5" t="str">
        <x:v>skill_flash_burst</x:v>
      </x:c>
      <x:c r="N22" s="5" t="str">
        <x:v>Assets/Data/Skill7.asset</x:v>
      </x:c>
    </x:row>
    <x:row r="23" ht="45" customHeight="1">
      <x:c r="A23" s="5" t="str">
        <x:v>Light</x:v>
      </x:c>
      <x:c r="B23" s="5" t="str">
        <x:v>신성 폭발</x:v>
      </x:c>
      <x:c r="C23" s="5" t="str">
        <x:v>Common</x:v>
      </x:c>
      <x:c r="D23" s="5" t="str">
        <x:v>3회 연속 타격 + Paralyze</x:v>
      </x:c>
      <x:c r="E23" s="13" t="n">
        <x:v>8</x:v>
      </x:c>
      <x:c r="F23" s="14" t="n">
        <x:v>3</x:v>
      </x:c>
      <x:c r="G23" s="15" t="n">
        <x:v>0.2</x:v>
      </x:c>
      <x:c r="H23" s="15" t="n">
        <x:v>0</x:v>
      </x:c>
      <x:c r="I23" s="5" t="str">
        <x:v>Paralyze</x:v>
      </x:c>
      <x:c r="J23" s="14" t="n">
        <x:v>35</x:v>
      </x:c>
      <x:c r="K23" s="5" t="str">
        <x:v>속성 필터 후보 / Pool 에셋 없음</x:v>
      </x:c>
      <x:c r="L23" s="5" t="str">
        <x:v>EXISTING</x:v>
      </x:c>
      <x:c r="M23" s="5" t="str">
        <x:v>skill_holy_explosion</x:v>
      </x:c>
      <x:c r="N23" s="5" t="str">
        <x:v>Assets/Data/Skills/skill_holy_explosion.asset</x:v>
      </x:c>
    </x:row>
    <x:row r="24" ht="45" customHeight="1">
      <x:c r="A24" s="5" t="str">
        <x:v>Light</x:v>
      </x:c>
      <x:c r="B24" s="5" t="str">
        <x:v>빛기둥</x:v>
      </x:c>
      <x:c r="C24" s="5" t="str">
        <x:v>Common</x:v>
      </x:c>
      <x:c r="D24" s="5" t="str">
        <x:v>3회 연속 타격 + Paralyze</x:v>
      </x:c>
      <x:c r="E24" s="13" t="n">
        <x:v>5</x:v>
      </x:c>
      <x:c r="F24" s="14" t="n">
        <x:v>3</x:v>
      </x:c>
      <x:c r="G24" s="15" t="n">
        <x:v>0.14</x:v>
      </x:c>
      <x:c r="H24" s="15" t="n">
        <x:v>0</x:v>
      </x:c>
      <x:c r="I24" s="5" t="str">
        <x:v>Paralyze</x:v>
      </x:c>
      <x:c r="J24" s="14" t="n">
        <x:v>20</x:v>
      </x:c>
      <x:c r="K24" s="5" t="str">
        <x:v>속성 필터 후보 / Pool 에셋 없음</x:v>
      </x:c>
      <x:c r="L24" s="5" t="str">
        <x:v>EXISTING</x:v>
      </x:c>
      <x:c r="M24" s="5" t="str">
        <x:v>skill_light_pillar</x:v>
      </x:c>
      <x:c r="N24" s="5" t="str">
        <x:v>Assets/Data/Skills/skill_light_pillar.asset</x:v>
      </x:c>
    </x:row>
    <x:row r="25" ht="45" customHeight="1">
      <x:c r="A25" s="5" t="str">
        <x:v>Wind</x:v>
      </x:c>
      <x:c r="B25" s="5" t="str">
        <x:v>질풍 강타</x:v>
      </x:c>
      <x:c r="C25" s="5" t="str">
        <x:v>Common</x:v>
      </x:c>
      <x:c r="D25" s="5" t="str">
        <x:v>단일 타격</x:v>
      </x:c>
      <x:c r="E25" s="13" t="n">
        <x:v>2.5</x:v>
      </x:c>
      <x:c r="F25" s="14" t="n">
        <x:v>1</x:v>
      </x:c>
      <x:c r="G25" s="15" t="n">
        <x:v>0.14</x:v>
      </x:c>
      <x:c r="H25" s="15" t="n">
        <x:v>0</x:v>
      </x:c>
      <x:c r="I25" s="5" t="str">
        <x:v>없음</x:v>
      </x:c>
      <x:c r="J25" s="14" t="n">
        <x:v>0</x:v>
      </x:c>
      <x:c r="K25" s="5" t="str">
        <x:v>WindShared</x:v>
      </x:c>
      <x:c r="L25" s="5" t="str">
        <x:v>EXISTING</x:v>
      </x:c>
      <x:c r="M25" s="5" t="str">
        <x:v>skill_gale_strike</x:v>
      </x:c>
      <x:c r="N25" s="5" t="str">
        <x:v>Assets/Data/Skill2.asset</x:v>
      </x:c>
    </x:row>
    <x:row r="26" ht="45" customHeight="1">
      <x:c r="A26" s="5" t="str">
        <x:v>Wind</x:v>
      </x:c>
      <x:c r="B26" s="5" t="str">
        <x:v>폭풍참</x:v>
      </x:c>
      <x:c r="C26" s="5" t="str">
        <x:v>Common</x:v>
      </x:c>
      <x:c r="D26" s="5" t="str">
        <x:v>6회 연속 타격 + Slow</x:v>
      </x:c>
      <x:c r="E26" s="13" t="n">
        <x:v>8.5</x:v>
      </x:c>
      <x:c r="F26" s="14" t="n">
        <x:v>6</x:v>
      </x:c>
      <x:c r="G26" s="15" t="n">
        <x:v>0.11</x:v>
      </x:c>
      <x:c r="H26" s="15" t="n">
        <x:v>0</x:v>
      </x:c>
      <x:c r="I26" s="5" t="str">
        <x:v>Slow</x:v>
      </x:c>
      <x:c r="J26" s="14" t="n">
        <x:v>55</x:v>
      </x:c>
      <x:c r="K26" s="5" t="str">
        <x:v>WindShared</x:v>
      </x:c>
      <x:c r="L26" s="5" t="str">
        <x:v>EXISTING</x:v>
      </x:c>
      <x:c r="M26" s="5" t="str">
        <x:v>skill_storm_slash</x:v>
      </x:c>
      <x:c r="N26" s="5" t="str">
        <x:v>Assets/Data/Skills/skill_storm_slash.asset</x:v>
      </x:c>
    </x:row>
    <x:row r="27" ht="45" customHeight="1">
      <x:c r="A27" s="5" t="str">
        <x:v>Wind</x:v>
      </x:c>
      <x:c r="B27" s="5" t="str">
        <x:v>단천</x:v>
      </x:c>
      <x:c r="C27" s="5" t="str">
        <x:v>Legendary</x:v>
      </x:c>
      <x:c r="D27" s="5" t="str">
        <x:v>단일 타격 / 시전 보호 1.3초</x:v>
      </x:c>
      <x:c r="E27" s="13" t="n">
        <x:v>12</x:v>
      </x:c>
      <x:c r="F27" s="14" t="n">
        <x:v>1</x:v>
      </x:c>
      <x:c r="G27" s="15" t="n">
        <x:v>0.14</x:v>
      </x:c>
      <x:c r="H27" s="15" t="n">
        <x:v>0.45</x:v>
      </x:c>
      <x:c r="I27" s="5" t="str">
        <x:v>없음</x:v>
      </x:c>
      <x:c r="J27" s="14" t="n">
        <x:v>0</x:v>
      </x:c>
      <x:c r="K27" s="5" t="str">
        <x:v>Zephyr 전용 Signature</x:v>
      </x:c>
      <x:c r="L27" s="5" t="str">
        <x:v>별도 코드 VFX 존재</x:v>
      </x:c>
      <x:c r="M27" s="5" t="str">
        <x:v>skill_dantian</x:v>
      </x:c>
      <x:c r="N27" s="5" t="str">
        <x:v>Assets/Data/Skills/skill_dantian.asset</x:v>
      </x:c>
    </x:row>
    <x:row r="28" ht="45" customHeight="1">
      <x:c r="A28" s="5" t="str">
        <x:v>Wind</x:v>
      </x:c>
      <x:c r="B28" s="5" t="str">
        <x:v>바람칼날</x:v>
      </x:c>
      <x:c r="C28" s="5" t="str">
        <x:v>Rare</x:v>
      </x:c>
      <x:c r="D28" s="5" t="str">
        <x:v>3회 연속 타격 + Slow</x:v>
      </x:c>
      <x:c r="E28" s="13" t="n">
        <x:v>3.5</x:v>
      </x:c>
      <x:c r="F28" s="14" t="n">
        <x:v>3</x:v>
      </x:c>
      <x:c r="G28" s="15" t="n">
        <x:v>0.1</x:v>
      </x:c>
      <x:c r="H28" s="15" t="n">
        <x:v>0.16</x:v>
      </x:c>
      <x:c r="I28" s="5" t="str">
        <x:v>Slow</x:v>
      </x:c>
      <x:c r="J28" s="14" t="n">
        <x:v>25</x:v>
      </x:c>
      <x:c r="K28" s="5" t="str">
        <x:v>WindShared</x:v>
      </x:c>
      <x:c r="L28" s="5" t="str">
        <x:v>EXISTING</x:v>
      </x:c>
      <x:c r="M28" s="5" t="str">
        <x:v>skill_falling_flower</x:v>
      </x:c>
      <x:c r="N28" s="5" t="str">
        <x:v>Assets/Data/Skills/skill_falling_flower.asset</x:v>
      </x:c>
    </x:row>
    <x:row r="29" ht="45" customHeight="1">
      <x:c r="A29" s="5" t="str">
        <x:v>Wind</x:v>
      </x:c>
      <x:c r="B29" s="5" t="str">
        <x:v>질풍참</x:v>
      </x:c>
      <x:c r="C29" s="5" t="str">
        <x:v>Rare</x:v>
      </x:c>
      <x:c r="D29" s="5" t="str">
        <x:v>단일 타격 + Slow</x:v>
      </x:c>
      <x:c r="E29" s="13" t="n">
        <x:v>5.5</x:v>
      </x:c>
      <x:c r="F29" s="14" t="n">
        <x:v>1</x:v>
      </x:c>
      <x:c r="G29" s="15" t="n">
        <x:v>0.09</x:v>
      </x:c>
      <x:c r="H29" s="15" t="n">
        <x:v>0.24</x:v>
      </x:c>
      <x:c r="I29" s="5" t="str">
        <x:v>Slow</x:v>
      </x:c>
      <x:c r="J29" s="14" t="n">
        <x:v>35</x:v>
      </x:c>
      <x:c r="K29" s="5" t="str">
        <x:v>WindShared</x:v>
      </x:c>
      <x:c r="L29" s="5" t="str">
        <x:v>EXISTING</x:v>
      </x:c>
      <x:c r="M29" s="5" t="str">
        <x:v>skill_gale_slash</x:v>
      </x:c>
      <x:c r="N29" s="5" t="str">
        <x:v>Assets/Data/Skills/skill_gale_slash.asset</x:v>
      </x:c>
    </x:row>
    <x:row r="30" ht="45" customHeight="1">
      <x:c r="A30" s="5" t="str">
        <x:v>Wind</x:v>
      </x:c>
      <x:c r="B30" s="5" t="str">
        <x:v>귀참</x:v>
      </x:c>
      <x:c r="C30" s="5" t="str">
        <x:v>Unique</x:v>
      </x:c>
      <x:c r="D30" s="5" t="str">
        <x:v>2회 연속 타격</x:v>
      </x:c>
      <x:c r="E30" s="13" t="n">
        <x:v>6.5</x:v>
      </x:c>
      <x:c r="F30" s="14" t="n">
        <x:v>2</x:v>
      </x:c>
      <x:c r="G30" s="15" t="n">
        <x:v>0.14</x:v>
      </x:c>
      <x:c r="H30" s="15" t="n">
        <x:v>0.18</x:v>
      </x:c>
      <x:c r="I30" s="5" t="str">
        <x:v>없음</x:v>
      </x:c>
      <x:c r="J30" s="14" t="n">
        <x:v>0</x:v>
      </x:c>
      <x:c r="K30" s="5" t="str">
        <x:v>WindShared</x:v>
      </x:c>
      <x:c r="L30" s="5" t="str">
        <x:v>별도 코드 VFX 존재</x:v>
      </x:c>
      <x:c r="M30" s="5" t="str">
        <x:v>skill_wind_claw</x:v>
      </x:c>
      <x:c r="N30" s="5" t="str">
        <x:v>Assets/Data/Skills/skill_wind_claw.asset</x:v>
      </x:c>
    </x:row>
    <x:row r="31" ht="45" customHeight="1">
      <x:c r="A31" s="5" t="str">
        <x:v>Water</x:v>
      </x:c>
      <x:c r="B31" s="5" t="str">
        <x:v>버블 샷</x:v>
      </x:c>
      <x:c r="C31" s="5" t="str">
        <x:v>Common</x:v>
      </x:c>
      <x:c r="D31" s="5" t="str">
        <x:v>단일 타격</x:v>
      </x:c>
      <x:c r="E31" s="13" t="n">
        <x:v>2.5</x:v>
      </x:c>
      <x:c r="F31" s="14" t="n">
        <x:v>1</x:v>
      </x:c>
      <x:c r="G31" s="15" t="n">
        <x:v>0.14</x:v>
      </x:c>
      <x:c r="H31" s="15" t="n">
        <x:v>0</x:v>
      </x:c>
      <x:c r="I31" s="5" t="str">
        <x:v>없음</x:v>
      </x:c>
      <x:c r="J31" s="14" t="n">
        <x:v>0</x:v>
      </x:c>
      <x:c r="K31" s="5" t="str">
        <x:v>속성 필터 후보 / Pool 에셋 없음</x:v>
      </x:c>
      <x:c r="L31" s="5" t="str">
        <x:v>EXISTING</x:v>
      </x:c>
      <x:c r="M31" s="5" t="str">
        <x:v>skill_bubble_shot</x:v>
      </x:c>
      <x:c r="N31" s="5" t="str">
        <x:v>Assets/Data/Skill5.asset</x:v>
      </x:c>
    </x:row>
    <x:row r="32" ht="45" customHeight="1">
      <x:c r="A32" s="5" t="str">
        <x:v>Water</x:v>
      </x:c>
      <x:c r="B32" s="5" t="str">
        <x:v>파워휩</x:v>
      </x:c>
      <x:c r="C32" s="5" t="str">
        <x:v>Common</x:v>
      </x:c>
      <x:c r="D32" s="5" t="str">
        <x:v>3회 연속 타격 + Slow</x:v>
      </x:c>
      <x:c r="E32" s="13" t="n">
        <x:v>4.8</x:v>
      </x:c>
      <x:c r="F32" s="14" t="n">
        <x:v>3</x:v>
      </x:c>
      <x:c r="G32" s="15" t="n">
        <x:v>0.14</x:v>
      </x:c>
      <x:c r="H32" s="15" t="n">
        <x:v>0</x:v>
      </x:c>
      <x:c r="I32" s="5" t="str">
        <x:v>Slow</x:v>
      </x:c>
      <x:c r="J32" s="14" t="n">
        <x:v>30</x:v>
      </x:c>
      <x:c r="K32" s="5" t="str">
        <x:v>속성 필터 후보 / Pool 에셋 없음</x:v>
      </x:c>
      <x:c r="L32" s="5" t="str">
        <x:v>EXISTING</x:v>
      </x:c>
      <x:c r="M32" s="5" t="str">
        <x:v>skill_power_whip</x:v>
      </x:c>
      <x:c r="N32" s="5" t="str">
        <x:v>Assets/Data/Skills/skill_power_whip.asset</x:v>
      </x:c>
    </x:row>
    <x:row r="33" ht="45" customHeight="1">
      <x:c r="A33" s="5" t="str">
        <x:v>Water</x:v>
      </x:c>
      <x:c r="B33" s="5" t="str">
        <x:v>저격</x:v>
      </x:c>
      <x:c r="C33" s="5" t="str">
        <x:v>Common</x:v>
      </x:c>
      <x:c r="D33" s="5" t="str">
        <x:v>단일 타격</x:v>
      </x:c>
      <x:c r="E33" s="13" t="n">
        <x:v>6.2</x:v>
      </x:c>
      <x:c r="F33" s="14" t="n">
        <x:v>1</x:v>
      </x:c>
      <x:c r="G33" s="15" t="n">
        <x:v>0.14</x:v>
      </x:c>
      <x:c r="H33" s="15" t="n">
        <x:v>0</x:v>
      </x:c>
      <x:c r="I33" s="5" t="str">
        <x:v>없음</x:v>
      </x:c>
      <x:c r="J33" s="14" t="n">
        <x:v>0</x:v>
      </x:c>
      <x:c r="K33" s="5" t="str">
        <x:v>속성 필터 후보 / Pool 에셋 없음</x:v>
      </x:c>
      <x:c r="L33" s="5" t="str">
        <x:v>EXISTING</x:v>
      </x:c>
      <x:c r="M33" s="5" t="str">
        <x:v>skill_snipe</x:v>
      </x:c>
      <x:c r="N33" s="5" t="str">
        <x:v>Assets/Data/Skills/skill_snipe.asset</x:v>
      </x:c>
    </x:row>
    <x:row r="34" ht="45" customHeight="1">
      <x:c r="A34" s="5" t="str">
        <x:v>Water</x:v>
      </x:c>
      <x:c r="B34" s="5" t="str">
        <x:v>스플래쉬</x:v>
      </x:c>
      <x:c r="C34" s="5" t="str">
        <x:v>Common</x:v>
      </x:c>
      <x:c r="D34" s="5" t="str">
        <x:v>6회 연속 타격 + Slow</x:v>
      </x:c>
      <x:c r="E34" s="13" t="n">
        <x:v>8.5</x:v>
      </x:c>
      <x:c r="F34" s="14" t="n">
        <x:v>6</x:v>
      </x:c>
      <x:c r="G34" s="15" t="n">
        <x:v>0.12</x:v>
      </x:c>
      <x:c r="H34" s="15" t="n">
        <x:v>0</x:v>
      </x:c>
      <x:c r="I34" s="5" t="str">
        <x:v>Slow</x:v>
      </x:c>
      <x:c r="J34" s="14" t="n">
        <x:v>60</x:v>
      </x:c>
      <x:c r="K34" s="5" t="str">
        <x:v>속성 필터 후보 / Pool 에셋 없음</x:v>
      </x:c>
      <x:c r="L34" s="5" t="str">
        <x:v>EXISTING</x:v>
      </x:c>
      <x:c r="M34" s="5" t="str">
        <x:v>skill_splash</x:v>
      </x:c>
      <x:c r="N34" s="5" t="str">
        <x:v>Assets/Data/Skills/skill_splash.asset</x:v>
      </x:c>
    </x:row>
    <x:row r="35" ht="45" customHeight="1">
      <x:c r="A35" s="5" t="str">
        <x:v>Dark</x:v>
      </x:c>
      <x:c r="B35" s="5" t="str">
        <x:v>아포칼립스</x:v>
      </x:c>
      <x:c r="C35" s="5" t="str">
        <x:v>Common</x:v>
      </x:c>
      <x:c r="D35" s="5" t="str">
        <x:v>6회 연속 타격 + Burn</x:v>
      </x:c>
      <x:c r="E35" s="13" t="n">
        <x:v>11</x:v>
      </x:c>
      <x:c r="F35" s="14" t="n">
        <x:v>6</x:v>
      </x:c>
      <x:c r="G35" s="15" t="n">
        <x:v>0.18</x:v>
      </x:c>
      <x:c r="H35" s="15" t="n">
        <x:v>0</x:v>
      </x:c>
      <x:c r="I35" s="5" t="str">
        <x:v>Burn</x:v>
      </x:c>
      <x:c r="J35" s="14" t="n">
        <x:v>65</x:v>
      </x:c>
      <x:c r="K35" s="5" t="str">
        <x:v>속성 필터 후보 / Pool 에셋 없음</x:v>
      </x:c>
      <x:c r="L35" s="5" t="str">
        <x:v>EXISTING</x:v>
      </x:c>
      <x:c r="M35" s="5" t="str">
        <x:v>skill_apocalypse</x:v>
      </x:c>
      <x:c r="N35" s="5" t="str">
        <x:v>Assets/Data/Skills/skill_apocalypse.asset</x:v>
      </x:c>
    </x:row>
    <x:row r="36" ht="45" customHeight="1">
      <x:c r="A36" s="5" t="str">
        <x:v>Dark</x:v>
      </x:c>
      <x:c r="B36" s="5" t="str">
        <x:v>어둠 일격</x:v>
      </x:c>
      <x:c r="C36" s="5" t="str">
        <x:v>Common</x:v>
      </x:c>
      <x:c r="D36" s="5" t="str">
        <x:v>단일 타격</x:v>
      </x:c>
      <x:c r="E36" s="13" t="n">
        <x:v>2.5</x:v>
      </x:c>
      <x:c r="F36" s="14" t="n">
        <x:v>1</x:v>
      </x:c>
      <x:c r="G36" s="15" t="n">
        <x:v>0.14</x:v>
      </x:c>
      <x:c r="H36" s="15" t="n">
        <x:v>0</x:v>
      </x:c>
      <x:c r="I36" s="5" t="str">
        <x:v>없음</x:v>
      </x:c>
      <x:c r="J36" s="14" t="n">
        <x:v>0</x:v>
      </x:c>
      <x:c r="K36" s="5" t="str">
        <x:v>속성 필터 후보 / Pool 에셋 없음</x:v>
      </x:c>
      <x:c r="L36" s="5" t="str">
        <x:v>EXISTING</x:v>
      </x:c>
      <x:c r="M36" s="5" t="str">
        <x:v>skill_dark_strike</x:v>
      </x:c>
      <x:c r="N36" s="5" t="str">
        <x:v>Assets/Data/Skill6.asset</x:v>
      </x:c>
    </x:row>
    <x:row r="37" ht="45" customHeight="1">
      <x:c r="A37" s="5" t="str">
        <x:v>Dark</x:v>
      </x:c>
      <x:c r="B37" s="5" t="str">
        <x:v>피해망상</x:v>
      </x:c>
      <x:c r="C37" s="5" t="str">
        <x:v>Common</x:v>
      </x:c>
      <x:c r="D37" s="5" t="str">
        <x:v>3회 연속 타격 + Slow</x:v>
      </x:c>
      <x:c r="E37" s="13" t="n">
        <x:v>4.5</x:v>
      </x:c>
      <x:c r="F37" s="14" t="n">
        <x:v>3</x:v>
      </x:c>
      <x:c r="G37" s="15" t="n">
        <x:v>0.14</x:v>
      </x:c>
      <x:c r="H37" s="15" t="n">
        <x:v>0</x:v>
      </x:c>
      <x:c r="I37" s="5" t="str">
        <x:v>Slow</x:v>
      </x:c>
      <x:c r="J37" s="14" t="n">
        <x:v>25</x:v>
      </x:c>
      <x:c r="K37" s="5" t="str">
        <x:v>속성 필터 후보 / Pool 에셋 없음</x:v>
      </x:c>
      <x:c r="L37" s="5" t="str">
        <x:v>EXISTING</x:v>
      </x:c>
      <x:c r="M37" s="5" t="str">
        <x:v>skill_paranoia</x:v>
      </x:c>
      <x:c r="N37" s="5" t="str">
        <x:v>Assets/Data/Skills/skill_paranoia.asset</x:v>
      </x:c>
    </x:row>
    <x:row r="38" ht="45" customHeight="1">
      <x:c r="A38" s="5" t="str">
        <x:v>Dark</x:v>
      </x:c>
      <x:c r="B38" s="5" t="str">
        <x:v>우주 균열</x:v>
      </x:c>
      <x:c r="C38" s="5" t="str">
        <x:v>Common</x:v>
      </x:c>
      <x:c r="D38" s="5" t="str">
        <x:v>4회 연속 타격 + Burn</x:v>
      </x:c>
      <x:c r="E38" s="13" t="n">
        <x:v>8</x:v>
      </x:c>
      <x:c r="F38" s="14" t="n">
        <x:v>4</x:v>
      </x:c>
      <x:c r="G38" s="15" t="n">
        <x:v>0.18</x:v>
      </x:c>
      <x:c r="H38" s="15" t="n">
        <x:v>0</x:v>
      </x:c>
      <x:c r="I38" s="5" t="str">
        <x:v>Burn</x:v>
      </x:c>
      <x:c r="J38" s="14" t="n">
        <x:v>35</x:v>
      </x:c>
      <x:c r="K38" s="5" t="str">
        <x:v>속성 필터 후보 / Pool 에셋 없음</x:v>
      </x:c>
      <x:c r="L38" s="5" t="str">
        <x:v>EXISTING</x:v>
      </x:c>
      <x:c r="M38" s="5" t="str">
        <x:v>skill_space_rift</x:v>
      </x:c>
      <x:c r="N38" s="5" t="str">
        <x:v>Assets/Data/Skills/skill_space_rift.asset</x:v>
      </x:c>
    </x:row>
  </x:sheetData>
  <x:conditionalFormatting sqref="A5:N38">
    <x:cfRule type="cellIs" dxfId="12" priority="1" operator="equal">
      <x:formula>"DONE"</x:formula>
    </x:cfRule>
    <x:cfRule type="cellIs" dxfId="13" priority="2" operator="equal">
      <x:formula>"NEEDS DESIGN"</x:formula>
    </x:cfRule>
    <x:cfRule type="cellIs" dxfId="14" priority="3" operator="equal">
      <x:formula>"NEEDS REMAKE"</x:formula>
    </x:cfRule>
    <x:cfRule type="cellIs" dxfId="15" priority="4" operator="equal">
      <x:formula>"NOT STARTED"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c29f9f0090d4a5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.5" hidden="0" customWidth="1"/>
    <x:col min="2" max="2" width="12.5" hidden="0" customWidth="1"/>
    <x:col min="3" max="3" width="31.25" hidden="0" customWidth="1"/>
    <x:col min="4" max="4" width="51.25" hidden="0" customWidth="1"/>
    <x:col min="5" max="5" width="51.25" hidden="0" customWidth="1"/>
    <x:col min="6" max="6" width="51.25" hidden="0" customWidth="1"/>
    <x:col min="7" max="7" width="50" hidden="0" customWidth="1"/>
    <x:col min="8" max="8" width="17.5" hidden="0" customWidth="1"/>
    <x:col min="9" max="9" width="17.5" hidden="0" customWidth="1"/>
    <x:col min="10" max="10" width="20" hidden="0" customWidth="1"/>
    <x:col min="11" max="11" width="52.5" hidden="0" customWidth="1"/>
    <x:col min="12" max="12" width="36.25" hidden="0" customWidth="1"/>
  </x:cols>
  <x:sheetData>
    <x:row r="1" ht="30" customHeight="1">
      <x:c r="A1" s="2" t="str">
        <x:v>프로젝트 레퍼런스와 현재 연결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3" customHeight="1">
      <x:c r="A2" s="3" t="str">
        <x:v>출처 경로는 C:/Users/PC/Dragon_Tower 기준. 16개 진화 시트 시각 확인 및 연결된 64개 이미지 파일 읽기 확인.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31.5" customHeight="1">
      <x:c r="A4" s="7" t="str">
        <x:v>Dragon</x:v>
      </x:c>
      <x:c r="B4" s="7" t="str">
        <x:v>Stable ID</x:v>
      </x:c>
      <x:c r="C4" s="7" t="str">
        <x:v>Dragon Data</x:v>
      </x:c>
      <x:c r="D4" s="7" t="str">
        <x:v>Base reference</x:v>
      </x:c>
      <x:c r="E4" s="7" t="str">
        <x:v>Middle reference</x:v>
      </x:c>
      <x:c r="F4" s="7" t="str">
        <x:v>Final reference</x:v>
      </x:c>
      <x:c r="G4" s="7" t="str">
        <x:v>Evolution reference</x:v>
      </x:c>
      <x:c r="H4" s="7" t="str">
        <x:v>Middle name</x:v>
      </x:c>
      <x:c r="I4" s="7" t="str">
        <x:v>Final name</x:v>
      </x:c>
      <x:c r="J4" s="7" t="str">
        <x:v>기존 Passive</x:v>
      </x:c>
      <x:c r="K4" s="7" t="str">
        <x:v>기존 소개</x:v>
      </x:c>
      <x:c r="L4" s="7" t="str">
        <x:v>현재 구현</x:v>
      </x:c>
    </x:row>
    <x:row r="5" ht="67.5" customHeight="1">
      <x:c r="A5" s="5" t="str">
        <x:v>오로라</x:v>
      </x:c>
      <x:c r="B5" s="5" t="str">
        <x:v>aurora</x:v>
      </x:c>
      <x:c r="C5" s="5" t="str">
        <x:v>Assets/Data/Dragon9.asset</x:v>
      </x:c>
      <x:c r="D5" s="5" t="str">
        <x:v>Assets/Art/Evolution/Separated/aurora-base.png</x:v>
      </x:c>
      <x:c r="E5" s="5" t="str">
        <x:v>Assets/Art/Evolution/Separated/aurora-intermediate.png</x:v>
      </x:c>
      <x:c r="F5" s="5" t="str">
        <x:v>Assets/Art/Evolution/Separated/aurora-final.png</x:v>
      </x:c>
      <x:c r="G5" s="5" t="str">
        <x:v>Assets/Art/Evolution/aurora-evolution-sheet.png</x:v>
      </x:c>
      <x:c r="H5" s="5" t="str">
        <x:v>오로라엘</x:v>
      </x:c>
      <x:c r="I5" s="5" t="str">
        <x:v>라니안</x:v>
      </x:c>
      <x:c r="J5" s="5" t="str">
        <x:v>신기루</x:v>
      </x:c>
      <x:c r="K5" s="5" t="str">
        <x:v>"신기루에서 나타나 환상을 보여주며 무엇이든 매혹해버립니다." </x:v>
      </x:c>
      <x:c r="L5" s="5" t="str">
        <x:v>3형태 정적 이미지 + 공용 Transform/피격 연출</x:v>
      </x:c>
    </x:row>
    <x:row r="6" ht="67.5" customHeight="1">
      <x:c r="A6" s="5" t="str">
        <x:v>루나</x:v>
      </x:c>
      <x:c r="B6" s="5" t="str">
        <x:v>luna</x:v>
      </x:c>
      <x:c r="C6" s="5" t="str">
        <x:v>Assets/Data/Dragon1.asset</x:v>
      </x:c>
      <x:c r="D6" s="5" t="str">
        <x:v>Assets/Art/Evolution/Separated/luna-base.png</x:v>
      </x:c>
      <x:c r="E6" s="5" t="str">
        <x:v>Assets/Art/Evolution/Separated/luna-intermediate.png</x:v>
      </x:c>
      <x:c r="F6" s="5" t="str">
        <x:v>Assets/Art/Evolution/Separated/luna-final.png</x:v>
      </x:c>
      <x:c r="G6" s="5" t="str">
        <x:v>Assets/Art/Evolution/luna-evolution.png</x:v>
      </x:c>
      <x:c r="H6" s="5" t="str">
        <x:v>루나리스</x:v>
      </x:c>
      <x:c r="I6" s="5" t="str">
        <x:v>루나리아</x:v>
      </x:c>
      <x:c r="J6" s="5" t="str">
        <x:v>얼어붙는 시선</x:v>
      </x:c>
      <x:c r="K6" s="5" t="str">
        <x:v>"수상할 정도로 애호가들이 많은 드래곤입니다."</x:v>
      </x:c>
      <x:c r="L6" s="5" t="str">
        <x:v>3형태 정적 이미지 + 공용 Transform/피격 연출</x:v>
      </x:c>
    </x:row>
    <x:row r="7" ht="67.5" customHeight="1">
      <x:c r="A7" s="5" t="str">
        <x:v>엠버</x:v>
      </x:c>
      <x:c r="B7" s="5" t="str">
        <x:v>ember</x:v>
      </x:c>
      <x:c r="C7" s="5" t="str">
        <x:v>Assets/Data/Dragon0.asset</x:v>
      </x:c>
      <x:c r="D7" s="5" t="str">
        <x:v>Assets/Art/Evolution/Separated/ember-base.png</x:v>
      </x:c>
      <x:c r="E7" s="5" t="str">
        <x:v>Assets/Art/Evolution/Separated/ember-intermediate.png</x:v>
      </x:c>
      <x:c r="F7" s="5" t="str">
        <x:v>Assets/Art/Evolution/Separated/ember-final.png</x:v>
      </x:c>
      <x:c r="G7" s="5" t="str">
        <x:v>Assets/Art/Evolution/ember-evolution.png</x:v>
      </x:c>
      <x:c r="H7" s="5" t="str">
        <x:v>엠베르</x:v>
      </x:c>
      <x:c r="I7" s="5" t="str">
        <x:v>엠베리온</x:v>
      </x:c>
      <x:c r="J7" s="5" t="str">
        <x:v>화룡의 숨결</x:v>
      </x:c>
      <x:c r="K7" s="5" t="str">
        <x:v>"불덩이를 먹고 용암을 쌉니다"</x:v>
      </x:c>
      <x:c r="L7" s="5" t="str">
        <x:v>3형태 정적 이미지 + 공용 Transform/피격 연출</x:v>
      </x:c>
    </x:row>
    <x:row r="8" ht="67.5" customHeight="1">
      <x:c r="A8" s="5" t="str">
        <x:v>솔</x:v>
      </x:c>
      <x:c r="B8" s="5" t="str">
        <x:v>sol</x:v>
      </x:c>
      <x:c r="C8" s="5" t="str">
        <x:v>Assets/Data/Dragon8.asset</x:v>
      </x:c>
      <x:c r="D8" s="5" t="str">
        <x:v>Assets/Art/Evolution/Separated/sol-base.png</x:v>
      </x:c>
      <x:c r="E8" s="5" t="str">
        <x:v>Assets/Art/Evolution/Separated/sol-intermediate.png</x:v>
      </x:c>
      <x:c r="F8" s="5" t="str">
        <x:v>Assets/Art/Evolution/Separated/sol-final.png</x:v>
      </x:c>
      <x:c r="G8" s="5" t="str">
        <x:v>Assets/Art/Evolution/sol-evolution-sheet.png</x:v>
      </x:c>
      <x:c r="H8" s="5" t="str">
        <x:v>솔리엘</x:v>
      </x:c>
      <x:c r="I8" s="5" t="str">
        <x:v>솔라리스</x:v>
      </x:c>
      <x:c r="J8" s="5" t="str">
        <x:v>불사조</x:v>
      </x:c>
      <x:c r="K8" s="5" t="str">
        <x:v>"근처에 있으면 항상 맛있는 냄새가 납니다"</x:v>
      </x:c>
      <x:c r="L8" s="5" t="str">
        <x:v>3형태 정적 이미지 + 공용 Transform/피격 연출</x:v>
      </x:c>
    </x:row>
    <x:row r="9" ht="67.5" customHeight="1">
      <x:c r="A9" s="5" t="str">
        <x:v>블랜디</x:v>
      </x:c>
      <x:c r="B9" s="5" t="str">
        <x:v>brandy</x:v>
      </x:c>
      <x:c r="C9" s="5" t="str">
        <x:v>Assets/Data/Dragon3.asset</x:v>
      </x:c>
      <x:c r="D9" s="5" t="str">
        <x:v>Assets/Art/Evolution/Separated/brandy-base.png</x:v>
      </x:c>
      <x:c r="E9" s="5" t="str">
        <x:v>Assets/Art/Evolution/Separated/brandy-intermediate.png</x:v>
      </x:c>
      <x:c r="F9" s="5" t="str">
        <x:v>Assets/Art/Evolution/Separated/brandy-final.png</x:v>
      </x:c>
      <x:c r="G9" s="5" t="str">
        <x:v>Assets/Art/Evolution/brandy-evolution.png</x:v>
      </x:c>
      <x:c r="H9" s="5" t="str">
        <x:v>블랜더스</x:v>
      </x:c>
      <x:c r="I9" s="5" t="str">
        <x:v>가이온</x:v>
      </x:c>
      <x:c r="J9" s="5" t="str">
        <x:v>철갑</x:v>
      </x:c>
      <x:c r="K9" s="5" t="str">
        <x:v>"만지면 철인 삼종 경기하는 삼촌도 외마디 비명만 남기고 땅속으로 끌려갑니다."</x:v>
      </x:c>
      <x:c r="L9" s="5" t="str">
        <x:v>3형태 정적 이미지 + 공용 Transform/피격 연출</x:v>
      </x:c>
    </x:row>
    <x:row r="10" ht="67.5" customHeight="1">
      <x:c r="A10" s="5" t="str">
        <x:v>티탄</x:v>
      </x:c>
      <x:c r="B10" s="5" t="str">
        <x:v>titan</x:v>
      </x:c>
      <x:c r="C10" s="5" t="str">
        <x:v>Assets/Data/Dragon11.asset</x:v>
      </x:c>
      <x:c r="D10" s="5" t="str">
        <x:v>Assets/Art/Evolution/Separated/titan-base.png</x:v>
      </x:c>
      <x:c r="E10" s="5" t="str">
        <x:v>Assets/Art/Evolution/Separated/titan-intermediate.png</x:v>
      </x:c>
      <x:c r="F10" s="5" t="str">
        <x:v>Assets/Art/Evolution/Separated/titan-final.png</x:v>
      </x:c>
      <x:c r="G10" s="5" t="str">
        <x:v>Assets/Art/Evolution/titan-evolution-sheet.png</x:v>
      </x:c>
      <x:c r="H10" s="5" t="str">
        <x:v>티타니아</x:v>
      </x:c>
      <x:c r="I10" s="5" t="str">
        <x:v>타이타노스</x:v>
      </x:c>
      <x:c r="J10" s="5" t="str">
        <x:v>단단한 외피</x:v>
      </x:c>
      <x:c r="K10" s="5" t="str">
        <x:v>"발을 구르면 지진이 일어납니다"</x:v>
      </x:c>
      <x:c r="L10" s="5" t="str">
        <x:v>3형태 정적 이미지 + 공용 Transform/피격 연출</x:v>
      </x:c>
    </x:row>
    <x:row r="11" ht="67.5" customHeight="1">
      <x:c r="A11" s="5" t="str">
        <x:v>스톰</x:v>
      </x:c>
      <x:c r="B11" s="5" t="str">
        <x:v>storm</x:v>
      </x:c>
      <x:c r="C11" s="5" t="str">
        <x:v>Assets/Data/Dragon12.asset</x:v>
      </x:c>
      <x:c r="D11" s="5" t="str">
        <x:v>Assets/Art/Evolution/Separated/storm-base.png</x:v>
      </x:c>
      <x:c r="E11" s="5" t="str">
        <x:v>Assets/Art/Evolution/Separated/storm-intermediate.png</x:v>
      </x:c>
      <x:c r="F11" s="5" t="str">
        <x:v>Assets/Art/Evolution/Separated/storm-final.png</x:v>
      </x:c>
      <x:c r="G11" s="5" t="str">
        <x:v>Assets/Art/Evolution/storm-evolution-sheet.png</x:v>
      </x:c>
      <x:c r="H11" s="5" t="str">
        <x:v>스토머</x:v>
      </x:c>
      <x:c r="I11" s="5" t="str">
        <x:v>사이클론</x:v>
      </x:c>
      <x:c r="J11" s="5" t="str">
        <x:v>폭풍우</x:v>
      </x:c>
      <x:c r="K11" s="5" t="str">
        <x:v>"날개짓을 하면 허리케인이 일어납니다"</x:v>
      </x:c>
      <x:c r="L11" s="5" t="str">
        <x:v>3형태 정적 이미지 + 공용 Transform/피격 연출</x:v>
      </x:c>
    </x:row>
    <x:row r="12" ht="67.5" customHeight="1">
      <x:c r="A12" s="5" t="str">
        <x:v>볼트</x:v>
      </x:c>
      <x:c r="B12" s="5" t="str">
        <x:v>volt</x:v>
      </x:c>
      <x:c r="C12" s="5" t="str">
        <x:v>Assets/Data/Dragon4.asset</x:v>
      </x:c>
      <x:c r="D12" s="5" t="str">
        <x:v>Assets/Art/Evolution/Separated/volt-base.png</x:v>
      </x:c>
      <x:c r="E12" s="5" t="str">
        <x:v>Assets/Art/Evolution/Separated/volt-intermediate.png</x:v>
      </x:c>
      <x:c r="F12" s="5" t="str">
        <x:v>Assets/Art/Evolution/Separated/volt-final.png</x:v>
      </x:c>
      <x:c r="G12" s="5" t="str">
        <x:v>Assets/Art/Evolution/volt-evolution.png</x:v>
      </x:c>
      <x:c r="H12" s="5" t="str">
        <x:v>볼티스</x:v>
      </x:c>
      <x:c r="I12" s="5" t="str">
        <x:v>볼트라크</x:v>
      </x:c>
      <x:c r="J12" s="5" t="str">
        <x:v>전기충격</x:v>
      </x:c>
      <x:c r="K12" s="5" t="str">
        <x:v>"반갑다고 비비적거리면 닿은 생명채는 모두 잿가루가 됩니다."</x:v>
      </x:c>
      <x:c r="L12" s="5" t="str">
        <x:v>3형태 정적 이미지 + 공용 Transform/피격 연출</x:v>
      </x:c>
    </x:row>
    <x:row r="13" ht="67.5" customHeight="1">
      <x:c r="A13" s="5" t="str">
        <x:v>크로노</x:v>
      </x:c>
      <x:c r="B13" s="5" t="str">
        <x:v>chrono</x:v>
      </x:c>
      <x:c r="C13" s="5" t="str">
        <x:v>Assets/Data/Dragon15.asset</x:v>
      </x:c>
      <x:c r="D13" s="5" t="str">
        <x:v>Assets/Art/Evolution/Separated/chrono-base.png</x:v>
      </x:c>
      <x:c r="E13" s="5" t="str">
        <x:v>Assets/Art/Evolution/Separated/chrono-intermediate.png</x:v>
      </x:c>
      <x:c r="F13" s="5" t="str">
        <x:v>Assets/Art/Evolution/Separated/chrono-final.png</x:v>
      </x:c>
      <x:c r="G13" s="5" t="str">
        <x:v>Assets/Art/Evolution/chrono-evolution-sheet.png</x:v>
      </x:c>
      <x:c r="H13" s="5" t="str">
        <x:v>크로노스</x:v>
      </x:c>
      <x:c r="I13" s="5" t="str">
        <x:v>크로마키나</x:v>
      </x:c>
      <x:c r="J13" s="5" t="str">
        <x:v>시간 균열</x:v>
      </x:c>
      <x:c r="K13" s="5" t="str">
        <x:v>"존야의 모래시계라는 것을 만들었습니다."</x:v>
      </x:c>
      <x:c r="L13" s="5" t="str">
        <x:v>3형태 정적 이미지 + 공용 Transform/피격 연출</x:v>
      </x:c>
    </x:row>
    <x:row r="14" ht="67.5" customHeight="1">
      <x:c r="A14" s="5" t="str">
        <x:v>단테</x:v>
      </x:c>
      <x:c r="B14" s="5" t="str">
        <x:v>dante</x:v>
      </x:c>
      <x:c r="C14" s="5" t="str">
        <x:v>Assets/Data/Dragon7.asset</x:v>
      </x:c>
      <x:c r="D14" s="5" t="str">
        <x:v>Assets/Art/Evolution/Separated/dante-base.png</x:v>
      </x:c>
      <x:c r="E14" s="5" t="str">
        <x:v>Assets/Art/Evolution/Separated/dante-intermediate.png</x:v>
      </x:c>
      <x:c r="F14" s="5" t="str">
        <x:v>Assets/Art/Evolution/Separated/dante-final.png</x:v>
      </x:c>
      <x:c r="G14" s="5" t="str">
        <x:v>Assets/Art/Evolution/dante-evolution.png</x:v>
      </x:c>
      <x:c r="H14" s="5" t="str">
        <x:v>단테라</x:v>
      </x:c>
      <x:c r="I14" s="5" t="str">
        <x:v>단테리엘</x:v>
      </x:c>
      <x:c r="J14" s="5" t="str">
        <x:v>성스러운 빛</x:v>
      </x:c>
      <x:c r="K14" s="5" t="str">
        <x:v>"거짓을 말하는 자의 눈을 섬광으로 태워버립니다"</x:v>
      </x:c>
      <x:c r="L14" s="5" t="str">
        <x:v>3형태 정적 이미지 + 공용 Transform/피격 연출</x:v>
      </x:c>
    </x:row>
    <x:row r="15" ht="67.5" customHeight="1">
      <x:c r="A15" s="5" t="str">
        <x:v>미르</x:v>
      </x:c>
      <x:c r="B15" s="5" t="str">
        <x:v>mir</x:v>
      </x:c>
      <x:c r="C15" s="5" t="str">
        <x:v>Assets/Data/Dragon10.asset</x:v>
      </x:c>
      <x:c r="D15" s="5" t="str">
        <x:v>Assets/Art/Evolution/Separated/mir-base.png</x:v>
      </x:c>
      <x:c r="E15" s="5" t="str">
        <x:v>Assets/Art/Evolution/Separated/mir-intermediate.png</x:v>
      </x:c>
      <x:c r="F15" s="5" t="str">
        <x:v>Assets/Art/Evolution/Separated/mir-final.png</x:v>
      </x:c>
      <x:c r="G15" s="5" t="str">
        <x:v>Assets/Art/Evolution/mir-evolution-sheet.png</x:v>
      </x:c>
      <x:c r="H15" s="5" t="str">
        <x:v>미리온</x:v>
      </x:c>
      <x:c r="I15" s="5" t="str">
        <x:v>오르도스</x:v>
      </x:c>
      <x:c r="J15" s="5" t="str">
        <x:v>여의주</x:v>
      </x:c>
      <x:c r="K15" s="5" t="str">
        <x:v>"미르에게 소원을 빌러 온 자들은 모두 벼락을 맞았습니다"</x:v>
      </x:c>
      <x:c r="L15" s="5" t="str">
        <x:v>3형태 정적 이미지 + 공용 Transform/피격 연출</x:v>
      </x:c>
    </x:row>
    <x:row r="16" ht="67.5" customHeight="1">
      <x:c r="A16" s="5" t="str">
        <x:v>제피르</x:v>
      </x:c>
      <x:c r="B16" s="5" t="str">
        <x:v>zephyr</x:v>
      </x:c>
      <x:c r="C16" s="5" t="str">
        <x:v>Assets/Data/Dragon2.asset</x:v>
      </x:c>
      <x:c r="D16" s="5" t="str">
        <x:v>Assets/Art/Evolution/Separated/zephyr-base.png</x:v>
      </x:c>
      <x:c r="E16" s="5" t="str">
        <x:v>Assets/Art/Evolution/Separated/zephyr-intermediate.png</x:v>
      </x:c>
      <x:c r="F16" s="5" t="str">
        <x:v>Assets/Art/Evolution/Separated/zephyr-final.png</x:v>
      </x:c>
      <x:c r="G16" s="5" t="str">
        <x:v>Assets/Art/Evolution/zephyr-evolution.png</x:v>
      </x:c>
      <x:c r="H16" s="5" t="str">
        <x:v>제피로스</x:v>
      </x:c>
      <x:c r="I16" s="5" t="str">
        <x:v>제피리온</x:v>
      </x:c>
      <x:c r="J16" s="5" t="str">
        <x:v>제트기류</x:v>
      </x:c>
      <x:c r="K16" s="5" t="str">
        <x:v>"스쳐 지나간 자리에는 부드러운 산들바람만 남지만, 뒤를 돌아보면 이미 모든 것이 베여 있습니다."</x:v>
      </x:c>
      <x:c r="L16" s="5" t="str">
        <x:v>새 6상태 세트</x:v>
      </x:c>
    </x:row>
    <x:row r="17" ht="67.5" customHeight="1">
      <x:c r="A17" s="5" t="str">
        <x:v>옥타</x:v>
      </x:c>
      <x:c r="B17" s="5" t="str">
        <x:v>okta</x:v>
      </x:c>
      <x:c r="C17" s="5" t="str">
        <x:v>Assets/Data/Dragon5.asset</x:v>
      </x:c>
      <x:c r="D17" s="5" t="str">
        <x:v>Assets/Art/Evolution/Separated/okta-base.png</x:v>
      </x:c>
      <x:c r="E17" s="5" t="str">
        <x:v>Assets/Art/Evolution/Separated/okta-intermediate.png</x:v>
      </x:c>
      <x:c r="F17" s="5" t="str">
        <x:v>Assets/Art/Evolution/Separated/okta-final.png</x:v>
      </x:c>
      <x:c r="G17" s="5" t="str">
        <x:v>Assets/Art/Evolution/okta-evolution.png</x:v>
      </x:c>
      <x:c r="H17" s="5" t="str">
        <x:v>옥탈리아</x:v>
      </x:c>
      <x:c r="I17" s="5" t="str">
        <x:v>옥타벨</x:v>
      </x:c>
      <x:c r="J17" s="5" t="str">
        <x:v>촉수</x:v>
      </x:c>
      <x:c r="K17" s="5" t="str">
        <x:v>"촉수를 보고 징그럽다고 생각하는 이를 깊은 심연속으로 끌고갑니다."</x:v>
      </x:c>
      <x:c r="L17" s="5" t="str">
        <x:v>3형태 정적 이미지 + 공용 Transform/피격 연출</x:v>
      </x:c>
    </x:row>
    <x:row r="18" ht="67.5" customHeight="1">
      <x:c r="A18" s="5" t="str">
        <x:v>샤키드</x:v>
      </x:c>
      <x:c r="B18" s="5" t="str">
        <x:v>sharkid</x:v>
      </x:c>
      <x:c r="C18" s="5" t="str">
        <x:v>Assets/Data/Dragon13.asset</x:v>
      </x:c>
      <x:c r="D18" s="5" t="str">
        <x:v>Assets/Art/Evolution/Separated/sharkid-base.png</x:v>
      </x:c>
      <x:c r="E18" s="5" t="str">
        <x:v>Assets/Art/Evolution/Separated/sharkid-intermediate.png</x:v>
      </x:c>
      <x:c r="F18" s="5" t="str">
        <x:v>Assets/Art/Evolution/Separated/sharkid-final.png</x:v>
      </x:c>
      <x:c r="G18" s="5" t="str">
        <x:v>Assets/Art/Evolution/sharkid-evolution-sheet.png</x:v>
      </x:c>
      <x:c r="H18" s="5" t="str">
        <x:v>샤키온</x:v>
      </x:c>
      <x:c r="I18" s="5" t="str">
        <x:v>샤크로돈</x:v>
      </x:c>
      <x:c r="J18" s="5" t="str">
        <x:v>얼어붙은 검</x:v>
      </x:c>
      <x:c r="K18" s="5" t="str">
        <x:v>"최근 부산에 출몰했습니다"</x:v>
      </x:c>
      <x:c r="L18" s="5" t="str">
        <x:v>3형태 정적 이미지 + 공용 Transform/피격 연출</x:v>
      </x:c>
    </x:row>
    <x:row r="19" ht="67.5" customHeight="1">
      <x:c r="A19" s="5" t="str">
        <x:v>노바</x:v>
      </x:c>
      <x:c r="B19" s="5" t="str">
        <x:v>nova</x:v>
      </x:c>
      <x:c r="C19" s="5" t="str">
        <x:v>Assets/Data/Dragon6.asset</x:v>
      </x:c>
      <x:c r="D19" s="5" t="str">
        <x:v>Assets/Art/Evolution/Separated/nova-base.png</x:v>
      </x:c>
      <x:c r="E19" s="5" t="str">
        <x:v>Assets/Art/Evolution/Separated/nova-intermediate.png</x:v>
      </x:c>
      <x:c r="F19" s="5" t="str">
        <x:v>Assets/Art/Evolution/Separated/nova-final.png</x:v>
      </x:c>
      <x:c r="G19" s="5" t="str">
        <x:v>Assets/Art/Evolution/nova-evolution.png</x:v>
      </x:c>
      <x:c r="H19" s="5" t="str">
        <x:v>노뷸라</x:v>
      </x:c>
      <x:c r="I19" s="5" t="str">
        <x:v>노바스트라</x:v>
      </x:c>
      <x:c r="J19" s="5" t="str">
        <x:v>공허 가속기</x:v>
      </x:c>
      <x:c r="K19" s="5" t="str">
        <x:v>"가끔씩 블랙홀을 만드려고 시도합니다"</x:v>
      </x:c>
      <x:c r="L19" s="5" t="str">
        <x:v>3형태 정적 이미지 + 공용 Transform/피격 연출</x:v>
      </x:c>
    </x:row>
    <x:row r="20" ht="67.5" customHeight="1">
      <x:c r="A20" s="5" t="str">
        <x:v>베놈</x:v>
      </x:c>
      <x:c r="B20" s="5" t="str">
        <x:v>venom</x:v>
      </x:c>
      <x:c r="C20" s="5" t="str">
        <x:v>Assets/Data/Dragon14.asset</x:v>
      </x:c>
      <x:c r="D20" s="5" t="str">
        <x:v>Assets/Art/Evolution/Separated/venom-base.png</x:v>
      </x:c>
      <x:c r="E20" s="5" t="str">
        <x:v>Assets/Art/Evolution/Separated/venom-intermediate.png</x:v>
      </x:c>
      <x:c r="F20" s="5" t="str">
        <x:v>Assets/Art/Evolution/Separated/venom-final.png</x:v>
      </x:c>
      <x:c r="G20" s="5" t="str">
        <x:v>Assets/Art/Evolution/venom-evolution-sheet.png</x:v>
      </x:c>
      <x:c r="H20" s="5" t="str">
        <x:v>베베놈</x:v>
      </x:c>
      <x:c r="I20" s="5" t="str">
        <x:v>바이퍼</x:v>
      </x:c>
      <x:c r="J20" s="5" t="str">
        <x:v>히드라의 독니</x:v>
      </x:c>
      <x:c r="K20" s="5" t="str">
        <x:v>"베놈은 맹독의 화신으로, 끊임없이 머리를 불려 나가며 전장에 죽음의 안개를 퍼뜨립니다."</x:v>
      </x:c>
      <x:c r="L20" s="5" t="str">
        <x:v>3형태 정적 이미지 + 공용 Transform/피격 연출</x:v>
      </x:c>
    </x:row>
  </x:sheetData>
  <x:conditionalFormatting sqref="A5:L20">
    <x:cfRule type="cellIs" dxfId="16" priority="1" operator="equal">
      <x:formula>"DONE"</x:formula>
    </x:cfRule>
    <x:cfRule type="cellIs" dxfId="17" priority="2" operator="equal">
      <x:formula>"NEEDS DESIGN"</x:formula>
    </x:cfRule>
    <x:cfRule type="cellIs" dxfId="18" priority="3" operator="equal">
      <x:formula>"NEEDS REMAKE"</x:formula>
    </x:cfRule>
    <x:cfRule type="cellIs" dxfId="19" priority="4" operator="equal">
      <x:formula>"NOT STARTED"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d8770453b24489d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" hidden="0" customWidth="1"/>
    <x:col min="2" max="2" width="26.25" hidden="0" customWidth="1"/>
    <x:col min="3" max="3" width="26.25" hidden="0" customWidth="1"/>
    <x:col min="4" max="4" width="58.75" hidden="0" customWidth="1"/>
    <x:col min="5" max="5" width="53.75" hidden="0" customWidth="1"/>
    <x:col min="6" max="6" width="56.25" hidden="0" customWidth="1"/>
  </x:cols>
  <x:sheetData>
    <x:row r="1" ht="30" customHeight="1">
      <x:c r="A1" s="2" t="str">
        <x:v>Batch 제작 단계</x:v>
      </x:c>
      <x:c r="B1" s="1"/>
      <x:c r="C1" s="1"/>
      <x:c r="D1" s="1"/>
      <x:c r="E1" s="1"/>
      <x:c r="F1" s="1"/>
    </x:row>
    <x:row r="2" ht="23" customHeight="1">
      <x:c r="A2" s="3" t="str">
        <x:v>속성별 소규모 묶음으로 A → B → C → D → E. A0 승인 전에 전체 프레임을 생성하지 않음.</x:v>
      </x:c>
      <x:c r="B2" s="1"/>
      <x:c r="C2" s="1"/>
      <x:c r="D2" s="1"/>
      <x:c r="E2" s="1"/>
      <x:c r="F2" s="1"/>
    </x:row>
    <x:row r="3">
      <x:c r="A3" s="1"/>
      <x:c r="B3" s="1"/>
      <x:c r="C3" s="1"/>
      <x:c r="D3" s="1"/>
      <x:c r="E3" s="1"/>
      <x:c r="F3" s="1"/>
    </x:row>
    <x:row r="4" ht="31.5" customHeight="1">
      <x:c r="A4" s="7" t="str">
        <x:v>Phase</x:v>
      </x:c>
      <x:c r="B4" s="7" t="str">
        <x:v>Batch</x:v>
      </x:c>
      <x:c r="C4" s="7" t="str">
        <x:v>단위</x:v>
      </x:c>
      <x:c r="D4" s="7" t="str">
        <x:v>작업</x:v>
      </x:c>
      <x:c r="E4" s="7" t="str">
        <x:v>완료 조건</x:v>
      </x:c>
      <x:c r="F4" s="7" t="str">
        <x:v>주의 / 의존성</x:v>
      </x:c>
    </x:row>
    <x:row r="5" ht="71.25" customHeight="1">
      <x:c r="A5" s="5" t="str">
        <x:v>0</x:v>
      </x:c>
      <x:c r="B5" s="5" t="str">
        <x:v>GLOBAL 준비</x:v>
      </x:c>
      <x:c r="C5" s="5" t="str">
        <x:v>제작 시작 전 1회</x:v>
      </x:c>
      <x:c r="D5" s="5" t="str">
        <x:v>현재 파일/ID 기준 목록 고정. 기본형 수입·단계별 검사 도구 보완 범위 결정</x:v>
      </x:c>
      <x:c r="E5" s="5" t="str">
        <x:v>기존 런타임을 복사하지 않는 최소 도구 계획</x:v>
      </x:c>
      <x:c r="F5" s="5" t="str">
        <x:v>아래 Pipeline 탭의 제약 먼저 확인; 이번에는 구현 안 함</x:v>
      </x:c>
    </x:row>
    <x:row r="6" ht="71.25" customHeight="1">
      <x:c r="A6" s="5" t="str">
        <x:v>A0</x:v>
      </x:c>
      <x:c r="B6" s="5" t="str">
        <x:v>Character 모델 기준</x:v>
      </x:c>
      <x:c r="C6" s="5" t="str">
        <x:v>속성 그룹당 2마리 묶음</x:v>
      </x:c>
      <x:c r="D6" s="5" t="str">
        <x:v>각 드래곤 Base/Middle/Final 키 포즈를 먼저 비교</x:v>
      </x:c>
      <x:c r="E6" s="5" t="str">
        <x:v>얼굴·팔다리·날개 수·픽셀 밀도·모바일 실루엣 승인</x:v>
      </x:c>
      <x:c r="F6" s="5" t="str">
        <x:v>45형태를 한 번에 생성하지 않음. 그룹 단위 승인</x:v>
      </x:c>
    </x:row>
    <x:row r="7" ht="71.25" customHeight="1">
      <x:c r="A7" s="5" t="str">
        <x:v>A1</x:v>
      </x:c>
      <x:c r="B7" s="5" t="str">
        <x:v>Idle Batch</x:v>
      </x:c>
      <x:c r="C7" s="5" t="str">
        <x:v>승인된 형태만</x:v>
      </x:c>
      <x:c r="D7" s="5" t="str">
        <x:v>3형태 Idle → 같은 전투 프레임에서 크기/발/Origin 확인</x:v>
      </x:c>
      <x:c r="E7" s="5" t="str">
        <x:v>캐릭터와 HUD/VFX 공간이 확보된 상태</x:v>
      </x:c>
      <x:c r="F7" s="5" t="str">
        <x:v>수정은 해당 형태만. 기본형 세트를 먼저 연결</x:v>
      </x:c>
    </x:row>
    <x:row r="8" ht="71.25" customHeight="1">
      <x:c r="A8" s="5" t="str">
        <x:v>A2</x:v>
      </x:c>
      <x:c r="B8" s="5" t="str">
        <x:v>Animation Batch</x:v>
      </x:c>
      <x:c r="C8" s="5" t="str">
        <x:v>같은 체형/상태끼리</x:v>
      </x:c>
      <x:c r="D8" s="5" t="str">
        <x:v>Attack/Skill → Dodge/Hit/Death 순서. 기본 4프레임 규칙 출발</x:v>
      </x:c>
      <x:c r="E8" s="5" t="str">
        <x:v>각 형태 6상태·기존 이벤트 시간·취소/사망 검사</x:v>
      </x:c>
      <x:c r="F8" s="5" t="str">
        <x:v>첫 체형 샘플 통과 후 나머지에 적용. 프레임 증가는 근거 있을 때만</x:v>
      </x:c>
    </x:row>
    <x:row r="9" ht="71.25" customHeight="1">
      <x:c r="A9" s="5" t="str">
        <x:v>B</x:v>
      </x:c>
      <x:c r="B9" s="5" t="str">
        <x:v>Element Art Direction</x:v>
      </x:c>
      <x:c r="C9" s="5" t="str">
        <x:v>속성당 1회</x:v>
      </x:c>
      <x:c r="D9" s="5" t="str">
        <x:v>색/명도/형태/운동/물성/Trail/Impact/규모 규칙 신규 결정</x:v>
      </x:c>
      <x:c r="E9" s="5" t="str">
        <x:v>속성 스타일 문서와 대표 최소 샘플 승인</x:v>
      </x:c>
      <x:c r="F9" s="5" t="str">
        <x:v>현재는 NEEDS DESIGN. Wind의 색/모양을 다른 속성에 복제하지 않음</x:v>
      </x:c>
    </x:row>
    <x:row r="10" ht="71.25" customHeight="1">
      <x:c r="A10" s="5" t="str">
        <x:v>C0</x:v>
      </x:c>
      <x:c r="B10" s="5" t="str">
        <x:v>Skill Concept</x:v>
      </x:c>
      <x:c r="C10" s="5" t="str">
        <x:v>속성 공용 후보 전체</x:v>
      </x:c>
      <x:c r="D10" s="5" t="str">
        <x:v>기존 이름·역할·CD 구조 조사 → Common/Rare/Unique 위계 검토</x:v>
      </x:c>
      <x:c r="E10" s="5" t="str">
        <x:v>스킬별 Concept → Visual Concept → VFX Structure 승인</x:v>
      </x:c>
      <x:c r="F10" s="5" t="str">
        <x:v>현재 rarity를 임의로 재분류하지 않음. 수치 밸런싱 별도</x:v>
      </x:c>
    </x:row>
    <x:row r="11" ht="71.25" customHeight="1">
      <x:c r="A11" s="5" t="str">
        <x:v>C1</x:v>
      </x:c>
      <x:c r="B11" s="5" t="str">
        <x:v>Element Skill Batch</x:v>
      </x:c>
      <x:c r="C11" s="5" t="str">
        <x:v>속성당 공용 제작</x:v>
      </x:c>
      <x:c r="D11" s="5" t="str">
        <x:v>승인 구조로 공용 모듈/전용 실루엣 제작 및 기존 이벤트 연결</x:v>
      </x:c>
      <x:c r="E11" s="5" t="str">
        <x:v>실제 피해 시점·모바일 화면·성능·다중 사용자 호환 검사</x:v>
      </x:c>
      <x:c r="F11" s="5" t="str">
        <x:v>같은 속성 2마리용 VFX를 중복 제작하지 않음</x:v>
      </x:c>
    </x:row>
    <x:row r="12" ht="71.25" customHeight="1">
      <x:c r="A12" s="5" t="str">
        <x:v>D</x:v>
      </x:c>
      <x:c r="B12" s="5" t="str">
        <x:v>Dragon Signature Batch</x:v>
      </x:c>
      <x:c r="C12" s="5" t="str">
        <x:v>드래곤별 1개씩</x:v>
      </x:c>
      <x:c r="D12" s="5" t="str">
        <x:v>최종형과 정체성 확정 후 Legendary 개별 기획·구현</x:v>
      </x:c>
      <x:c r="E12" s="5" t="str">
        <x:v>전용 소유권·차별적 Signature Fantasy·종료 복원 검사</x:v>
      </x:c>
      <x:c r="F12" s="5" t="str">
        <x:v>제피르 제외 15개 NEEDS DESIGN. 현재 이름/효과/카메라 방식 미정</x:v>
      </x:c>
    </x:row>
    <x:row r="13" ht="71.25" customHeight="1">
      <x:c r="A13" s="5" t="str">
        <x:v>E</x:v>
      </x:c>
      <x:c r="B13" s="5" t="str">
        <x:v>통합·회귀 Batch</x:v>
      </x:c>
      <x:c r="C13" s="5" t="str">
        <x:v>속성 그룹 완료 시</x:v>
      </x:c>
      <x:c r="D13" s="5" t="str">
        <x:v>2마리 × 3형태 × 공용 스킬, 전용기는 소유자만 검사</x:v>
      </x:c>
      <x:c r="E13" s="5" t="str">
        <x:v>입력/쿨타임/HP/HUD/사망/취소/WebGL/기준 기기 통과</x:v>
      </x:c>
      <x:c r="F13" s="5" t="str">
        <x:v>공용 모듈 변경 시 영향받는 속성만 재검사; 마지막 전체 회귀</x:v>
      </x:c>
    </x:row>
    <x:row r="14" ht="71.25" customHeight="1">
      <x:c r="A14" s="5" t="str">
        <x:v>F</x:v>
      </x:c>
      <x:c r="B14" s="5" t="str">
        <x:v>완료 판정</x:v>
      </x:c>
      <x:c r="C14" s="5" t="str">
        <x:v>검수 증거별</x:v>
      </x:c>
      <x:c r="D14" s="5" t="str">
        <x:v>보드·경로·미해결 항목 갱신</x:v>
      </x:c>
      <x:c r="E14" s="5" t="str">
        <x:v>DONE은 해당 범위 검수 완료일 때만</x:v>
      </x:c>
      <x:c r="F14" s="5" t="str">
        <x:v>새 그룹은 이전 그룹의 공용 문제를 정리한 후 시작</x:v>
      </x:c>
    </x:row>
  </x:sheetData>
  <x:conditionalFormatting sqref="A5:F14">
    <x:cfRule type="cellIs" dxfId="20" priority="1" operator="equal">
      <x:formula>"DONE"</x:formula>
    </x:cfRule>
    <x:cfRule type="cellIs" dxfId="21" priority="2" operator="equal">
      <x:formula>"NEEDS DESIGN"</x:formula>
    </x:cfRule>
    <x:cfRule type="cellIs" dxfId="22" priority="3" operator="equal">
      <x:formula>"NEEDS REMAKE"</x:formula>
    </x:cfRule>
    <x:cfRule type="cellIs" dxfId="23" priority="4" operator="equal">
      <x:formula>"NOT STARTED"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082157e4eb44884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8.75" hidden="0" customWidth="1"/>
    <x:col min="2" max="2" width="28.75" hidden="0" customWidth="1"/>
    <x:col min="3" max="3" width="19.3799991607666" hidden="0" customWidth="1"/>
    <x:col min="4" max="4" width="55" hidden="0" customWidth="1"/>
    <x:col min="5" max="5" width="65" hidden="0" customWidth="1"/>
    <x:col min="6" max="6" width="56.25" hidden="0" customWidth="1"/>
  </x:cols>
  <x:sheetData>
    <x:row r="1" ht="30" customHeight="1">
      <x:c r="A1" s="2" t="str">
        <x:v>재사용 범위와 공용 준비 작업</x:v>
      </x:c>
      <x:c r="B1" s="1"/>
      <x:c r="C1" s="1"/>
      <x:c r="D1" s="1"/>
      <x:c r="E1" s="1"/>
      <x:c r="F1" s="1"/>
    </x:row>
    <x:row r="2" ht="23" customHeight="1">
      <x:c r="A2" s="3" t="str">
        <x:v>현 상태와 후속 계획을 분리했다. 이번 조사에서 코드는 변경하지 않았다.</x:v>
      </x:c>
      <x:c r="B2" s="1"/>
      <x:c r="C2" s="1"/>
      <x:c r="D2" s="1"/>
      <x:c r="E2" s="1"/>
      <x:c r="F2" s="1"/>
    </x:row>
    <x:row r="3">
      <x:c r="A3" s="1"/>
      <x:c r="B3" s="1"/>
      <x:c r="C3" s="1"/>
      <x:c r="D3" s="1"/>
      <x:c r="E3" s="1"/>
      <x:c r="F3" s="1"/>
    </x:row>
    <x:row r="4" ht="31.5" customHeight="1">
      <x:c r="A4" s="7" t="str">
        <x:v>Scope</x:v>
      </x:c>
      <x:c r="B4" s="7" t="str">
        <x:v>항목</x:v>
      </x:c>
      <x:c r="C4" s="7" t="str">
        <x:v>Status</x:v>
      </x:c>
      <x:c r="D4" s="7" t="str">
        <x:v>실제 현재 상태</x:v>
      </x:c>
      <x:c r="E4" s="7" t="str">
        <x:v>후속 제작에서 할 일</x:v>
      </x:c>
      <x:c r="F4" s="7" t="str">
        <x:v>Source</x:v>
      </x:c>
    </x:row>
    <x:row r="5" ht="71.25" customHeight="1">
      <x:c r="A5" s="5" t="str">
        <x:v>GLOBAL</x:v>
      </x:c>
      <x:c r="B5" s="5" t="str">
        <x:v>DragonData / Evolution Forms</x:v>
      </x:c>
      <x:c r="C5" s="5" t="str">
        <x:v>EXISTING</x:v>
      </x:c>
      <x:c r="D5" s="5" t="str">
        <x:v>ID, 0/1/2 단계, Visual/Animation Set/수치 override</x:v>
      </x:c>
      <x:c r="E5" s="5" t="str">
        <x:v>재사용. ID·전투 시스템 복사 금지</x:v>
      </x:c>
      <x:c r="F5" s="5" t="str">
        <x:v>Assets/Scripts/DragonData.cs</x:v>
      </x:c>
    </x:row>
    <x:row r="6" ht="71.25" customHeight="1">
      <x:c r="A6" s="5" t="str">
        <x:v>GLOBAL</x:v>
      </x:c>
      <x:c r="B6" s="5" t="str">
        <x:v>6상태 프레임 재생 / 입력·전투</x:v>
      </x:c>
      <x:c r="C6" s="5" t="str">
        <x:v>EXISTING</x:v>
      </x:c>
      <x:c r="D6" s="5" t="str">
        <x:v>공용 BattleAnimation, BattleController, BattleModel</x:v>
      </x:c>
      <x:c r="E6" s="5" t="str">
        <x:v>Sprite Set 데이터 교체. 체형마다 전투 코드 분기 추가 금지</x:v>
      </x:c>
      <x:c r="F6" s="5" t="str">
        <x:v>Assets/Scripts/BattleAnimation.cs</x:v>
      </x:c>
    </x:row>
    <x:row r="7" ht="71.25" customHeight="1">
      <x:c r="A7" s="5" t="str">
        <x:v>GLOBAL</x:v>
      </x:c>
      <x:c r="B7" s="5" t="str">
        <x:v>기본형 수입 준비</x:v>
      </x:c>
      <x:c r="C7" s="5" t="str">
        <x:v>NOT STARTED</x:v>
      </x:c>
      <x:c r="D7" s="5" t="str">
        <x:v>EvolutionSpriteSetup은 stage 1~2만 받고 기존 Base 세트를 요구</x:v>
      </x:c>
      <x:c r="E7" s="5" t="str">
        <x:v>대량 제작 전 Base 수입/시간 원본 선택을 1회 공용화 검토</x:v>
      </x:c>
      <x:c r="F7" s="5" t="str">
        <x:v>Assets/Editor/EvolutionSpriteSetup.cs</x:v>
      </x:c>
    </x:row>
    <x:row r="8" ht="71.25" customHeight="1">
      <x:c r="A8" s="5" t="str">
        <x:v>GLOBAL</x:v>
      </x:c>
      <x:c r="B8" s="5" t="str">
        <x:v>Foot/Anchor 규칙</x:v>
      </x:c>
      <x:c r="C8" s="5" t="str">
        <x:v>EXISTING</x:v>
      </x:c>
      <x:c r="D8" s="5" t="str">
        <x:v>하단 불투명 픽셀 평균으로 발 정렬; 진화별 VFX Anchor 필드 없음</x:v>
      </x:c>
      <x:c r="E8" s="5" t="str">
        <x:v>부유·촉수·긴 몸 샘플 검증 후 필요한 경우에만 데이터 보정 확장</x:v>
      </x:c>
      <x:c r="F8" s="5" t="str">
        <x:v>Assets/Editor/EvolutionSpriteSetup.cs</x:v>
      </x:c>
    </x:row>
    <x:row r="9" ht="71.25" customHeight="1">
      <x:c r="A9" s="5" t="str">
        <x:v>GLOBAL</x:v>
      </x:c>
      <x:c r="B9" s="5" t="str">
        <x:v>체형 분류</x:v>
      </x:c>
      <x:c r="C9" s="5" t="str">
        <x:v>EXISTING</x:v>
      </x:c>
      <x:c r="D9" s="5" t="str">
        <x:v>Small/LargeQuadruped, Biped, Flying, Serpentine enum은 메타데이터</x:v>
      </x:c>
      <x:c r="E9" s="5" t="str">
        <x:v>자동 리깅/자동 모션 생성 기능으로 오해하지 않음</x:v>
      </x:c>
      <x:c r="F9" s="5" t="str">
        <x:v>Assets/Scripts/DragonAnimationSet.cs</x:v>
      </x:c>
    </x:row>
    <x:row r="10" ht="71.25" customHeight="1">
      <x:c r="A10" s="5" t="str">
        <x:v>GLOBAL</x:v>
      </x:c>
      <x:c r="B10" s="5" t="str">
        <x:v>단계별 제작 검사</x:v>
      </x:c>
      <x:c r="C10" s="5" t="str">
        <x:v>NEEDS DESIGN</x:v>
      </x:c>
      <x:c r="D10" s="5" t="str">
        <x:v>현재 Inspector는 Signature 없음도 완성 전 연결 필요로 표시</x:v>
      </x:c>
      <x:c r="E10" s="5" t="str">
        <x:v>A/C 단계 검수와 D 완료 검수를 분리하는 최소 도구 보완 계획. 미기획 Legendary는 오류 아님</x:v>
      </x:c>
      <x:c r="F10" s="5" t="str">
        <x:v>Assets/Editor/DragonProductionInspector.cs</x:v>
      </x:c>
    </x:row>
    <x:row r="11" ht="71.25" customHeight="1">
      <x:c r="A11" s="5" t="str">
        <x:v>GLOBAL</x:v>
      </x:c>
      <x:c r="B11" s="5" t="str">
        <x:v>재사용 회귀 Harness</x:v>
      </x:c>
      <x:c r="C11" s="5" t="str">
        <x:v>EXISTING</x:v>
      </x:c>
      <x:c r="D11" s="5" t="str">
        <x:v>중간/최종 검사는 stage 인자 지원하나 Zephyr와 Wind 스킬 전제</x:v>
      </x:c>
      <x:c r="E11" s="5" t="str">
        <x:v>드래곤/Pool/형태를 입력받는 공용 검사로 1회 보완 검토</x:v>
      </x:c>
      <x:c r="F11" s="5" t="str">
        <x:v>Assets/Editor/ZephyrMiddleValidation.cs</x:v>
      </x:c>
    </x:row>
    <x:row r="12" ht="71.25" customHeight="1">
      <x:c r="A12" s="5" t="str">
        <x:v>GLOBAL</x:v>
      </x:c>
      <x:c r="B12" s="5" t="str">
        <x:v>VFX 연결/풀/피격·숫자</x:v>
      </x:c>
      <x:c r="C12" s="5" t="str">
        <x:v>EXISTING</x:v>
      </x:c>
      <x:c r="D12" s="5" t="str">
        <x:v>SkillCast/Skill/SkillHit 경로, 다단히트, 풀, 취소 처리</x:v>
      </x:c>
      <x:c r="E12" s="5" t="str">
        <x:v>현재 Wind 컴포넌트 연결은 명시적. 모든 속성 자동 라우팅이 완성된 것은 아님</x:v>
      </x:c>
      <x:c r="F12" s="5" t="str">
        <x:v>Assets/Scripts/BattleAnimation.cs</x:v>
      </x:c>
    </x:row>
    <x:row r="13" ht="71.25" customHeight="1">
      <x:c r="A13" s="5" t="str">
        <x:v>PER ELEMENT</x:v>
      </x:c>
      <x:c r="B13" s="5" t="str">
        <x:v>Element HUD Theme</x:v>
      </x:c>
      <x:c r="C13" s="5" t="str">
        <x:v>EXISTING</x:v>
      </x:c>
      <x:c r="D13" s="5" t="str">
        <x:v>8속성 Theme + Neutral fallback 존재</x:v>
      </x:c>
      <x:c r="E13" s="5" t="str">
        <x:v>현재 HUD/정보색 유지. VFX 아트 방향과 별개</x:v>
      </x:c>
      <x:c r="F13" s="5" t="str">
        <x:v>Assets/Resources/HudThemes</x:v>
      </x:c>
    </x:row>
    <x:row r="14" ht="71.25" customHeight="1">
      <x:c r="A14" s="5" t="str">
        <x:v>PER ELEMENT</x:v>
      </x:c>
      <x:c r="B14" s="5" t="str">
        <x:v>Element Skill Pool</x:v>
      </x:c>
      <x:c r="C14" s="5" t="str">
        <x:v>EXISTING</x:v>
      </x:c>
      <x:c r="D14" s="5" t="str">
        <x:v>WindShared 1개. 15마리는 Pool 없이 속성 필터 경로</x:v>
      </x:c>
      <x:c r="E14" s="5" t="str">
        <x:v>7속성 Pool 생성·연결은 후속 제작. Storm Wind / Sharkid Ice 추가 Pool 보존</x:v>
      </x:c>
      <x:c r="F14" s="5" t="str">
        <x:v>Assets/Scripts/DragonData.cs; Assets/Data/SkillPools/WindShared.asset</x:v>
      </x:c>
    </x:row>
    <x:row r="15" ht="71.25" customHeight="1">
      <x:c r="A15" s="5" t="str">
        <x:v>PER ELEMENT</x:v>
      </x:c>
      <x:c r="B15" s="5" t="str">
        <x:v>VFX Art Direction/공용 Skill</x:v>
      </x:c>
      <x:c r="C15" s="5" t="str">
        <x:v>NEEDS DESIGN</x:v>
      </x:c>
      <x:c r="D15" s="5" t="str">
        <x:v>기존 VFX는 Legacy. 이름·등급·역할·CD 데이터만 기획 입력</x:v>
      </x:c>
      <x:c r="E15" s="5" t="str">
        <x:v>팔레트/물성/형태/운동을 속성별 설계. Common/Rare/Unique는 공용 제작</x:v>
      </x:c>
      <x:c r="F15" s="5" t="str">
        <x:v>Assets/Scripts/SkillData.cs</x:v>
      </x:c>
    </x:row>
    <x:row r="16" ht="71.25" customHeight="1">
      <x:c r="A16" s="5" t="str">
        <x:v>PER DRAGON</x:v>
      </x:c>
      <x:c r="B16" s="5" t="str">
        <x:v>3형태 Visual + Animation</x:v>
      </x:c>
      <x:c r="C16" s="5" t="str">
        <x:v>NOT STARTED</x:v>
      </x:c>
      <x:c r="D16" s="5" t="str">
        <x:v>제피르 DONE, 나머지 15마리는 참조만 EXISTING</x:v>
      </x:c>
      <x:c r="E16" s="5" t="str">
        <x:v>각 3형태 × 6상태 제작. 다른 드래곤 Sprite 확대/색상 교체로 대체하지 않음</x:v>
      </x:c>
      <x:c r="F16" s="5" t="str">
        <x:v>Assets/Data/Dragon*.asset</x:v>
      </x:c>
    </x:row>
    <x:row r="17" ht="71.25" customHeight="1">
      <x:c r="A17" s="5" t="str">
        <x:v>PER DRAGON</x:v>
      </x:c>
      <x:c r="B17" s="5" t="str">
        <x:v>Legendary Signature</x:v>
      </x:c>
      <x:c r="C17" s="5" t="str">
        <x:v>NEEDS DESIGN</x:v>
      </x:c>
      <x:c r="D17" s="5" t="str">
        <x:v>단천만 구현·소유자 zephyr. 나머지 15개는 의도적으로 미기획</x:v>
      </x:c>
      <x:c r="E17" s="5" t="str">
        <x:v>최종 외형/속성/정체성 기반 별도 기획. 공용 Pool에 넣지 않음</x:v>
      </x:c>
      <x:c r="F17" s="5" t="str">
        <x:v>Assets/Data/Skills/skill_dantian.asset</x:v>
      </x:c>
    </x:row>
    <x:row r="18" ht="71.25" customHeight="1">
      <x:c r="A18" s="5" t="str">
        <x:v>PER DRAGON</x:v>
      </x:c>
      <x:c r="B18" s="5" t="str">
        <x:v>Signature 권한 검수</x:v>
      </x:c>
      <x:c r="C18" s="5" t="str">
        <x:v>EXISTING</x:v>
      </x:c>
      <x:c r="D18" s="5" t="str">
        <x:v>exclusiveDragonId + signatureSkill + CanEquip/CanOfferSkill 경로</x:v>
      </x:c>
      <x:c r="E18" s="5" t="str">
        <x:v>동일 속성의 다른 드래곤에게 지급/장착되지 않는지 검사</x:v>
      </x:c>
      <x:c r="F18" s="5" t="str">
        <x:v>Assets/Scripts/SkillData.cs; Assets/Scripts/DragonData.cs</x:v>
      </x:c>
    </x:row>
  </x:sheetData>
  <x:conditionalFormatting sqref="A5:F18">
    <x:cfRule type="cellIs" dxfId="24" priority="1" operator="equal">
      <x:formula>"DONE"</x:formula>
    </x:cfRule>
    <x:cfRule type="cellIs" dxfId="25" priority="2" operator="equal">
      <x:formula>"NEEDS DESIGN"</x:formula>
    </x:cfRule>
    <x:cfRule type="cellIs" dxfId="26" priority="3" operator="equal">
      <x:formula>"NEEDS REMAKE"</x:formula>
    </x:cfRule>
    <x:cfRule type="cellIs" dxfId="27" priority="4" operator="equal">
      <x:formula>"NOT STARTED"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e2ab0e441d44dad"/>
  </x:tableParts>
</x:worksheet>
</file>